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Benchmark" sheetId="2" state="visible" r:id="rId4"/>
    <sheet name="Malla" sheetId="3" state="visible" r:id="rId5"/>
    <sheet name="Malla mejor" sheetId="4" state="visible" r:id="rId6"/>
    <sheet name="Best config" sheetId="5" state="visible" r:id="rId7"/>
    <sheet name="Benchmark rerun" sheetId="6" state="visible" r:id="rId8"/>
    <sheet name="Repeticiones" sheetId="7" state="visible" r:id="rId9"/>
    <sheet name="FLamby paper" sheetId="8" state="visible" r:id="rId10"/>
    <sheet name="Métricas detalladas" sheetId="9" state="visible" r:id="rId11"/>
  </sheets>
  <definedNames>
    <definedName function="false" hidden="true" localSheetId="1" name="_xlnm._FilterDatabase" vbProcedure="false">Benchmark!$A$1:$M$16</definedName>
    <definedName function="false" hidden="true" localSheetId="5" name="_xlnm._FilterDatabase" vbProcedure="false">'Benchmark rerun'!$A$1:$M$8</definedName>
    <definedName function="false" hidden="true" localSheetId="4" name="_xlnm._FilterDatabase" vbProcedure="false">'Best config'!$A$1:$M$9</definedName>
    <definedName function="false" hidden="true" localSheetId="2" name="_xlnm._FilterDatabase" vbProcedure="false">Malla!$A$1:$P$234</definedName>
    <definedName function="false" hidden="true" localSheetId="8" name="_xlnm._FilterDatabase" vbProcedure="false">'Métricas detalladas'!$A$1:$K$217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Columna auxiliar para que la hoja 'Malla mejor' encuentre la corrida de rango 1.</t>
        </r>
      </text>
    </comment>
  </commentList>
</comments>
</file>

<file path=xl/sharedStrings.xml><?xml version="1.0" encoding="utf-8"?>
<sst xmlns="http://schemas.openxmlformats.org/spreadsheetml/2006/main" count="1073" uniqueCount="302">
  <si>
    <t xml:space="preserve">Fed-ISIC2019 — resultados, semilla 42</t>
  </si>
  <si>
    <t xml:space="preserve">Métrica de todas las tablas: balanced accuracy (métrica oficial de FLamby para Fed-ISIC2019), en el test de cada centro y en el test agrupado (Pooled test).</t>
  </si>
  <si>
    <t xml:space="preserve">Fuente: CSV de results_isic2019/seed42/ (rama fedisic2019-reports-docker, repo Ayax911/FLamby). Corridas en RTX 6000 Ada vía scripts/run_isic2019_docker.sh.</t>
  </si>
  <si>
    <t xml:space="preserve">Hojas</t>
  </si>
  <si>
    <t xml:space="preserve">Benchmark — 15 experimentos: Pooled, 6 locales y 8 estrategias con los hiperparámetros de flamby/config_isic2019.json (results_isic2019.csv).</t>
  </si>
  <si>
    <t xml:space="preserve">Malla — 233 combinaciones federadas con la malla del paper (Apéndice H): lr cliente 10^{-3..-0.5}, slr 10^{-3..-0.5} + 1 + 10, mu {0.001, 0.01, 0.1, 1} (results_isic2019_grid.csv). 201 completas; las 32 que divergieron (NaN: FedAdam/FedYogi con slr 1 y 10, FedAdagrad/Scaffold con slr 10, y una FedAdam con slr 0.316) aparecen en rojo, sin métricas. 155 corridas originales + 78 de la extensión del paper; se omitieron FedAvgFineTuning con lr 0.316 y repetir los 10 slr=1.0 ya divergidos.</t>
  </si>
  <si>
    <t xml:space="preserve">Malla mejor — la mejor corrida de la malla por estrategia vs la config del paper (fórmulas sobre la hoja Malla).</t>
  </si>
  <si>
    <t xml:space="preserve">Best config — las 8 estrategias de config_isic2019.json corridas de nuevo como seed42_best_* (results_isic2019_best.csv).</t>
  </si>
  <si>
    <t xml:space="preserve">Benchmark rerun — 7 estrategias que se entrenaron una segunda vez por un lanzamiento duplicado (results_isic2019_benchmark_rerun.csv).</t>
  </si>
  <si>
    <t xml:space="preserve">Repeticiones — misma config y semilla corrida 2–3 veces: ruido real de una corrida (fórmulas).</t>
  </si>
  <si>
    <t xml:space="preserve">FLamby paper — nuestras cifras vs las 5 semillas publicadas por FLamby (flamby/results/results_benchmark_fed_isic2019/isic_seed42..46.csv).</t>
  </si>
  <si>
    <t xml:space="preserve">Métricas detalladas — accuracy, AUC, F1, precisión, sensibilidad, especificidad y loss en el test agrupado, leídas de runs*/…/test/metrics.json.</t>
  </si>
  <si>
    <t xml:space="preserve">Advertencias</t>
  </si>
  <si>
    <t xml:space="preserve">1. val = test: elegir el mejor punto de la malla por su test es optimista.</t>
  </si>
  <si>
    <t xml:space="preserve">2. Una sola semilla: corridas idénticas difieren hasta ~0.04 (hoja Repeticiones); diferencias menores entre estrategias no son concluyentes.</t>
  </si>
  <si>
    <t xml:space="preserve">3. Por el lanzamiento duplicado, los reportes de runs/ para FedAvg, FedProx, FedAdam, FedYogi, FedAdagrad, Scaffold y FedAvgFineTuning (config del paper) y los de runs_best/ pueden no corresponder a la fila del CSV. Los CSV son la fuente fiable; la hoja Métricas detalladas hereda esa limitación para esas filas.</t>
  </si>
  <si>
    <t xml:space="preserve">4. Ensemble no se calculó: fed_benchmark.py lo desactiva (compute_ensemble_perf=False).</t>
  </si>
  <si>
    <t xml:space="preserve">5. Celdas en negrita de 'Media 6 centros' y las columnas de comparación son fórmulas; las demás cifras son resultados copiados de los CSV.</t>
  </si>
  <si>
    <t xml:space="preserve">Estrategia / Método</t>
  </si>
  <si>
    <t xml:space="preserve">lr cliente</t>
  </si>
  <si>
    <t xml:space="preserve">lr servidor (slr)</t>
  </si>
  <si>
    <t xml:space="preserve">mu (FedProx)</t>
  </si>
  <si>
    <t xml:space="preserve">pasos fine-tuning</t>
  </si>
  <si>
    <t xml:space="preserve">Pooled test</t>
  </si>
  <si>
    <t xml:space="preserve">BCN</t>
  </si>
  <si>
    <t xml:space="preserve">HAM_vidir_molemax</t>
  </si>
  <si>
    <t xml:space="preserve">HAM_vidir_modern</t>
  </si>
  <si>
    <t xml:space="preserve">HAM_rosendahl</t>
  </si>
  <si>
    <t xml:space="preserve">MSK</t>
  </si>
  <si>
    <t xml:space="preserve">HAM_vienna_dias</t>
  </si>
  <si>
    <t xml:space="preserve">Media 6 centros</t>
  </si>
  <si>
    <t xml:space="preserve">Pooled Training</t>
  </si>
  <si>
    <t xml:space="preserve">Local 0</t>
  </si>
  <si>
    <t xml:space="preserve">Local 1</t>
  </si>
  <si>
    <t xml:space="preserve">Local 2</t>
  </si>
  <si>
    <t xml:space="preserve">Local 3</t>
  </si>
  <si>
    <t xml:space="preserve">Local 4</t>
  </si>
  <si>
    <t xml:space="preserve">Local 5</t>
  </si>
  <si>
    <t xml:space="preserve">FedAvg</t>
  </si>
  <si>
    <t xml:space="preserve">FedProx</t>
  </si>
  <si>
    <t xml:space="preserve">FedAdam</t>
  </si>
  <si>
    <t xml:space="preserve">FedYogi</t>
  </si>
  <si>
    <t xml:space="preserve">FedAdagrad</t>
  </si>
  <si>
    <t xml:space="preserve">Scaffold</t>
  </si>
  <si>
    <t xml:space="preserve">Cyclic</t>
  </si>
  <si>
    <t xml:space="preserve">FedAvgFineTuning</t>
  </si>
  <si>
    <t xml:space="preserve">Estado</t>
  </si>
  <si>
    <t xml:space="preserve">Rango en su estrategia</t>
  </si>
  <si>
    <t xml:space="preserve">Clave</t>
  </si>
  <si>
    <t xml:space="preserve">ok</t>
  </si>
  <si>
    <t xml:space="preserve">divergió (NaN)</t>
  </si>
  <si>
    <t xml:space="preserve">Estrategia</t>
  </si>
  <si>
    <t xml:space="preserve">Corridas válidas</t>
  </si>
  <si>
    <t xml:space="preserve">Mejor Pooled (malla)</t>
  </si>
  <si>
    <t xml:space="preserve">lr</t>
  </si>
  <si>
    <t xml:space="preserve">slr</t>
  </si>
  <si>
    <t xml:space="preserve">mu</t>
  </si>
  <si>
    <t xml:space="preserve">Pooled con config del paper</t>
  </si>
  <si>
    <t xml:space="preserve">Mejor − paper</t>
  </si>
  <si>
    <t xml:space="preserve">Pooled peor (malla)</t>
  </si>
  <si>
    <t xml:space="preserve">Si dos corridas empatan en el máximo, lr/slr/mu muestran la primera.</t>
  </si>
  <si>
    <t xml:space="preserve">Benchmark</t>
  </si>
  <si>
    <t xml:space="preserve">Rerun</t>
  </si>
  <si>
    <t xml:space="preserve">Best config</t>
  </si>
  <si>
    <t xml:space="preserve">N corridas</t>
  </si>
  <si>
    <t xml:space="preserve">Media</t>
  </si>
  <si>
    <t xml:space="preserve">Desv. estándar</t>
  </si>
  <si>
    <t xml:space="preserve">Rango (máx − mín)</t>
  </si>
  <si>
    <t xml:space="preserve">Pooled test, misma config (config_isic2019.json) y semilla 42 en la misma máquina. Cyclic no tiene rerun.</t>
  </si>
  <si>
    <t xml:space="preserve">Método</t>
  </si>
  <si>
    <t xml:space="preserve">Seed 42</t>
  </si>
  <si>
    <t xml:space="preserve">Seed 43</t>
  </si>
  <si>
    <t xml:space="preserve">Seed 44</t>
  </si>
  <si>
    <t xml:space="preserve">Seed 45</t>
  </si>
  <si>
    <t xml:space="preserve">Seed 46</t>
  </si>
  <si>
    <t xml:space="preserve">Media FLamby</t>
  </si>
  <si>
    <t xml:space="preserve">Desv. FLamby</t>
  </si>
  <si>
    <t xml:space="preserve">Nuestro (seed 42)</t>
  </si>
  <si>
    <t xml:space="preserve">Nuestro − media</t>
  </si>
  <si>
    <t xml:space="preserve">¿Dentro de ±2 desv.?</t>
  </si>
  <si>
    <t xml:space="preserve">Seeds 42–46 (azul): pooled test publicado por FLamby en flamby/results/results_benchmark_fed_isic2019/isic_seed&lt;S&gt;.csv. FedAvgFineTuning no está en sus resultados.</t>
  </si>
  <si>
    <t xml:space="preserve">Origen</t>
  </si>
  <si>
    <t xml:space="preserve">Carpeta de la corrida</t>
  </si>
  <si>
    <t xml:space="preserve">balanced_accuracy</t>
  </si>
  <si>
    <t xml:space="preserve">accuracy</t>
  </si>
  <si>
    <t xml:space="preserve">auc</t>
  </si>
  <si>
    <t xml:space="preserve">f1</t>
  </si>
  <si>
    <t xml:space="preserve">f1_macro</t>
  </si>
  <si>
    <t xml:space="preserve">precision</t>
  </si>
  <si>
    <t xml:space="preserve">sensitivity</t>
  </si>
  <si>
    <t xml:space="preserve">specificity</t>
  </si>
  <si>
    <t xml:space="preserve">loss</t>
  </si>
  <si>
    <t xml:space="preserve">runs</t>
  </si>
  <si>
    <t xml:space="preserve">pooled</t>
  </si>
  <si>
    <t xml:space="preserve">FedAvg-num-updates100-lr0.001</t>
  </si>
  <si>
    <t xml:space="preserve">FedAvg-num-updates100-lr0.0031622776601683</t>
  </si>
  <si>
    <t xml:space="preserve">FedAvg-num-updates100-lr0.01</t>
  </si>
  <si>
    <t xml:space="preserve">FedAvg-num-updates100-lr0.0316227766016837</t>
  </si>
  <si>
    <t xml:space="preserve">FedAvg-num-updates100-lr0.1</t>
  </si>
  <si>
    <t xml:space="preserve">FedAvg-num-updates100-lr0.316227766016838</t>
  </si>
  <si>
    <t xml:space="preserve">FedProx-num-updates100-lr0.001-mu0.001</t>
  </si>
  <si>
    <t xml:space="preserve">FedProx-num-updates100-lr0.001-mu0.01</t>
  </si>
  <si>
    <t xml:space="preserve">FedProx-num-updates100-lr0.001-mu0.1</t>
  </si>
  <si>
    <t xml:space="preserve">FedProx-num-updates100-lr0.001-mu1.0</t>
  </si>
  <si>
    <t xml:space="preserve">FedProx-num-updates100-lr0.0031622776601683-mu0.001</t>
  </si>
  <si>
    <t xml:space="preserve">FedProx-num-updates100-lr0.0031622776601683-mu0.01</t>
  </si>
  <si>
    <t xml:space="preserve">FedProx-num-updates100-lr0.0031622776601683-mu0.1</t>
  </si>
  <si>
    <t xml:space="preserve">FedProx-num-updates100-lr0.0031622776601683-mu1.0</t>
  </si>
  <si>
    <t xml:space="preserve">FedProx-num-updates100-lr0.01-mu0.001</t>
  </si>
  <si>
    <t xml:space="preserve">FedProx-num-updates100-lr0.01-mu0.01</t>
  </si>
  <si>
    <t xml:space="preserve">FedProx-num-updates100-lr0.01-mu0.1</t>
  </si>
  <si>
    <t xml:space="preserve">FedProx-num-updates100-lr0.01-mu1.0</t>
  </si>
  <si>
    <t xml:space="preserve">FedProx-num-updates100-lr0.0316227766016837-mu0.001</t>
  </si>
  <si>
    <t xml:space="preserve">FedProx-num-updates100-lr0.0316227766016837-mu0.01</t>
  </si>
  <si>
    <t xml:space="preserve">FedProx-num-updates100-lr0.0316227766016837-mu0.1</t>
  </si>
  <si>
    <t xml:space="preserve">FedProx-num-updates100-lr0.0316227766016837-mu1.0</t>
  </si>
  <si>
    <t xml:space="preserve">FedProx-num-updates100-lr0.1-mu0.001</t>
  </si>
  <si>
    <t xml:space="preserve">FedProx-num-updates100-lr0.1-mu0.01</t>
  </si>
  <si>
    <t xml:space="preserve">FedProx-num-updates100-lr0.1-mu0.1</t>
  </si>
  <si>
    <t xml:space="preserve">FedProx-num-updates100-lr0.1-mu1.0</t>
  </si>
  <si>
    <t xml:space="preserve">FedProx-num-updates100-lr0.316227766016838-mu0.001</t>
  </si>
  <si>
    <t xml:space="preserve">FedProx-num-updates100-lr0.316227766016838-mu0.01</t>
  </si>
  <si>
    <t xml:space="preserve">FedProx-num-updates100-lr0.316227766016838-mu0.1</t>
  </si>
  <si>
    <t xml:space="preserve">FedProx-num-updates100-lr0.316227766016838-mu1.0</t>
  </si>
  <si>
    <t xml:space="preserve">FedAdam-num-updates100-lr0.001-slr0.001</t>
  </si>
  <si>
    <t xml:space="preserve">FedAdam-num-updates100-lr0.001-slr0.0031622776601683</t>
  </si>
  <si>
    <t xml:space="preserve">FedAdam-num-updates100-lr0.001-slr0.01</t>
  </si>
  <si>
    <t xml:space="preserve">FedAdam-num-updates100-lr0.001-slr0.0316227766016837</t>
  </si>
  <si>
    <t xml:space="preserve">FedAdam-num-updates100-lr0.001-slr0.1</t>
  </si>
  <si>
    <t xml:space="preserve">FedAdam-num-updates100-lr0.001-slr0.316227766016838</t>
  </si>
  <si>
    <t xml:space="preserve">FedAdam-num-updates100-lr0.0031622776601683-slr0.001</t>
  </si>
  <si>
    <t xml:space="preserve">FedAdam-num-updates100-lr0.0031622776601683-slr0.0031622776601683</t>
  </si>
  <si>
    <t xml:space="preserve">FedAdam-num-updates100-lr0.0031622776601683-slr0.01</t>
  </si>
  <si>
    <t xml:space="preserve">FedAdam-num-updates100-lr0.0031622776601683-slr0.0316227766016837</t>
  </si>
  <si>
    <t xml:space="preserve">FedAdam-num-updates100-lr0.0031622776601683-slr0.1</t>
  </si>
  <si>
    <t xml:space="preserve">FedAdam-num-updates100-lr0.0031622776601683-slr0.316227766016838</t>
  </si>
  <si>
    <t xml:space="preserve">FedAdam-num-updates100-lr0.01-slr0.001</t>
  </si>
  <si>
    <t xml:space="preserve">FedAdam-num-updates100-lr0.01-slr0.0031622776601683</t>
  </si>
  <si>
    <t xml:space="preserve">FedAdam-num-updates100-lr0.01-slr0.01</t>
  </si>
  <si>
    <t xml:space="preserve">FedAdam-num-updates100-lr0.01-slr0.0316227766016837</t>
  </si>
  <si>
    <t xml:space="preserve">FedAdam-num-updates100-lr0.01-slr0.1</t>
  </si>
  <si>
    <t xml:space="preserve">FedAdam-num-updates100-lr0.01-slr0.316227766016838</t>
  </si>
  <si>
    <t xml:space="preserve">FedAdam-num-updates100-lr0.0316227766016837-slr0.001</t>
  </si>
  <si>
    <t xml:space="preserve">FedAdam-num-updates100-lr0.0316227766016837-slr0.0031622776601683</t>
  </si>
  <si>
    <t xml:space="preserve">FedAdam-num-updates100-lr0.0316227766016837-slr0.01</t>
  </si>
  <si>
    <t xml:space="preserve">FedAdam-num-updates100-lr0.0316227766016837-slr0.0316227766016837</t>
  </si>
  <si>
    <t xml:space="preserve">FedAdam-num-updates100-lr0.0316227766016837-slr0.1</t>
  </si>
  <si>
    <t xml:space="preserve">FedAdam-num-updates100-lr0.0316227766016837-slr0.316227766016838</t>
  </si>
  <si>
    <t xml:space="preserve">FedAdam-num-updates100-lr0.1-slr0.001</t>
  </si>
  <si>
    <t xml:space="preserve">FedAdam-num-updates100-lr0.1-slr0.0031622776601683</t>
  </si>
  <si>
    <t xml:space="preserve">FedAdam-num-updates100-lr0.1-slr0.01</t>
  </si>
  <si>
    <t xml:space="preserve">FedAdam-num-updates100-lr0.1-slr0.0316227766016837</t>
  </si>
  <si>
    <t xml:space="preserve">FedAdam-num-updates100-lr0.1-slr0.1</t>
  </si>
  <si>
    <t xml:space="preserve">FedAdam-num-updates100-lr0.316227766016838-slr0.001</t>
  </si>
  <si>
    <t xml:space="preserve">FedAdam-num-updates100-lr0.316227766016838-slr0.0031622776601683</t>
  </si>
  <si>
    <t xml:space="preserve">FedAdam-num-updates100-lr0.316227766016838-slr0.01</t>
  </si>
  <si>
    <t xml:space="preserve">FedAdam-num-updates100-lr0.316227766016838-slr0.0316227766016837</t>
  </si>
  <si>
    <t xml:space="preserve">FedAdam-num-updates100-lr0.316227766016838-slr0.1</t>
  </si>
  <si>
    <t xml:space="preserve">FedAdam-num-updates100-lr0.316227766016838-slr0.316227766016838</t>
  </si>
  <si>
    <t xml:space="preserve">FedYogi-num-updates100-lr0.001-slr0.001</t>
  </si>
  <si>
    <t xml:space="preserve">FedYogi-num-updates100-lr0.001-slr0.0031622776601683</t>
  </si>
  <si>
    <t xml:space="preserve">FedYogi-num-updates100-lr0.001-slr0.01</t>
  </si>
  <si>
    <t xml:space="preserve">FedYogi-num-updates100-lr0.001-slr0.0316227766016837</t>
  </si>
  <si>
    <t xml:space="preserve">FedYogi-num-updates100-lr0.001-slr0.1</t>
  </si>
  <si>
    <t xml:space="preserve">FedYogi-num-updates100-lr0.001-slr0.316227766016838</t>
  </si>
  <si>
    <t xml:space="preserve">FedYogi-num-updates100-lr0.0031622776601683-slr0.001</t>
  </si>
  <si>
    <t xml:space="preserve">FedYogi-num-updates100-lr0.0031622776601683-slr0.0031622776601683</t>
  </si>
  <si>
    <t xml:space="preserve">FedYogi-num-updates100-lr0.0031622776601683-slr0.01</t>
  </si>
  <si>
    <t xml:space="preserve">FedYogi-num-updates100-lr0.0031622776601683-slr0.0316227766016837</t>
  </si>
  <si>
    <t xml:space="preserve">FedYogi-num-updates100-lr0.0031622776601683-slr0.1</t>
  </si>
  <si>
    <t xml:space="preserve">FedYogi-num-updates100-lr0.0031622776601683-slr0.316227766016838</t>
  </si>
  <si>
    <t xml:space="preserve">FedYogi-num-updates100-lr0.01-slr0.001</t>
  </si>
  <si>
    <t xml:space="preserve">FedYogi-num-updates100-lr0.01-slr0.0031622776601683</t>
  </si>
  <si>
    <t xml:space="preserve">FedYogi-num-updates100-lr0.01-slr0.01</t>
  </si>
  <si>
    <t xml:space="preserve">FedYogi-num-updates100-lr0.01-slr0.0316227766016837</t>
  </si>
  <si>
    <t xml:space="preserve">FedYogi-num-updates100-lr0.01-slr0.1</t>
  </si>
  <si>
    <t xml:space="preserve">FedYogi-num-updates100-lr0.01-slr0.316227766016838</t>
  </si>
  <si>
    <t xml:space="preserve">FedYogi-num-updates100-lr0.0316227766016837-slr0.001</t>
  </si>
  <si>
    <t xml:space="preserve">FedYogi-num-updates100-lr0.0316227766016837-slr0.0031622776601683</t>
  </si>
  <si>
    <t xml:space="preserve">FedYogi-num-updates100-lr0.0316227766016837-slr0.01</t>
  </si>
  <si>
    <t xml:space="preserve">FedYogi-num-updates100-lr0.0316227766016837-slr0.0316227766016837</t>
  </si>
  <si>
    <t xml:space="preserve">FedYogi-num-updates100-lr0.0316227766016837-slr0.1</t>
  </si>
  <si>
    <t xml:space="preserve">FedYogi-num-updates100-lr0.0316227766016837-slr0.316227766016838</t>
  </si>
  <si>
    <t xml:space="preserve">FedYogi-num-updates100-lr0.1-slr0.001</t>
  </si>
  <si>
    <t xml:space="preserve">FedYogi-num-updates100-lr0.1-slr0.0031622776601683</t>
  </si>
  <si>
    <t xml:space="preserve">FedYogi-num-updates100-lr0.1-slr0.01</t>
  </si>
  <si>
    <t xml:space="preserve">FedYogi-num-updates100-lr0.1-slr0.0316227766016837</t>
  </si>
  <si>
    <t xml:space="preserve">FedYogi-num-updates100-lr0.1-slr0.1</t>
  </si>
  <si>
    <t xml:space="preserve">FedYogi-num-updates100-lr0.1-slr0.316227766016838</t>
  </si>
  <si>
    <t xml:space="preserve">FedYogi-num-updates100-lr0.316227766016838-slr0.001</t>
  </si>
  <si>
    <t xml:space="preserve">FedYogi-num-updates100-lr0.316227766016838-slr0.0031622776601683</t>
  </si>
  <si>
    <t xml:space="preserve">FedYogi-num-updates100-lr0.316227766016838-slr0.01</t>
  </si>
  <si>
    <t xml:space="preserve">FedYogi-num-updates100-lr0.316227766016838-slr0.0316227766016837</t>
  </si>
  <si>
    <t xml:space="preserve">FedYogi-num-updates100-lr0.316227766016838-slr0.1</t>
  </si>
  <si>
    <t xml:space="preserve">FedYogi-num-updates100-lr0.316227766016838-slr0.316227766016838</t>
  </si>
  <si>
    <t xml:space="preserve">FedAdagrad-num-updates100-lr0.001-slr0.001</t>
  </si>
  <si>
    <t xml:space="preserve">FedAdagrad-num-updates100-lr0.001-slr0.0031622776601683</t>
  </si>
  <si>
    <t xml:space="preserve">FedAdagrad-num-updates100-lr0.001-slr0.01</t>
  </si>
  <si>
    <t xml:space="preserve">FedAdagrad-num-updates100-lr0.001-slr0.0316227766016837</t>
  </si>
  <si>
    <t xml:space="preserve">FedAdagrad-num-updates100-lr0.001-slr0.1</t>
  </si>
  <si>
    <t xml:space="preserve">FedAdagrad-num-updates100-lr0.001-slr0.316227766016838</t>
  </si>
  <si>
    <t xml:space="preserve">FedAdagrad-num-updates100-lr0.001-slr1.0</t>
  </si>
  <si>
    <t xml:space="preserve">FedAdagrad-num-updates100-lr0.0031622776601683-slr0.001</t>
  </si>
  <si>
    <t xml:space="preserve">FedAdagrad-num-updates100-lr0.0031622776601683-slr0.0031622776601683</t>
  </si>
  <si>
    <t xml:space="preserve">FedAdagrad-num-updates100-lr0.0031622776601683-slr0.01</t>
  </si>
  <si>
    <t xml:space="preserve">FedAdagrad-num-updates100-lr0.0031622776601683-slr0.0316227766016837</t>
  </si>
  <si>
    <t xml:space="preserve">FedAdagrad-num-updates100-lr0.0031622776601683-slr0.1</t>
  </si>
  <si>
    <t xml:space="preserve">FedAdagrad-num-updates100-lr0.0031622776601683-slr0.316227766016838</t>
  </si>
  <si>
    <t xml:space="preserve">FedAdagrad-num-updates100-lr0.0031622776601683-slr1.0</t>
  </si>
  <si>
    <t xml:space="preserve">FedAdagrad-num-updates100-lr0.01-slr0.001</t>
  </si>
  <si>
    <t xml:space="preserve">FedAdagrad-num-updates100-lr0.01-slr0.0031622776601683</t>
  </si>
  <si>
    <t xml:space="preserve">FedAdagrad-num-updates100-lr0.01-slr0.01</t>
  </si>
  <si>
    <t xml:space="preserve">FedAdagrad-num-updates100-lr0.01-slr0.0316227766016837</t>
  </si>
  <si>
    <t xml:space="preserve">FedAdagrad-num-updates100-lr0.01-slr0.1</t>
  </si>
  <si>
    <t xml:space="preserve">FedAdagrad-num-updates100-lr0.01-slr0.316227766016838</t>
  </si>
  <si>
    <t xml:space="preserve">FedAdagrad-num-updates100-lr0.01-slr1.0</t>
  </si>
  <si>
    <t xml:space="preserve">FedAdagrad-num-updates100-lr0.0316227766016837-slr0.001</t>
  </si>
  <si>
    <t xml:space="preserve">FedAdagrad-num-updates100-lr0.0316227766016837-slr0.0031622776601683</t>
  </si>
  <si>
    <t xml:space="preserve">FedAdagrad-num-updates100-lr0.0316227766016837-slr0.01</t>
  </si>
  <si>
    <t xml:space="preserve">FedAdagrad-num-updates100-lr0.0316227766016837-slr0.0316227766016837</t>
  </si>
  <si>
    <t xml:space="preserve">FedAdagrad-num-updates100-lr0.0316227766016837-slr0.1</t>
  </si>
  <si>
    <t xml:space="preserve">FedAdagrad-num-updates100-lr0.0316227766016837-slr0.316227766016838</t>
  </si>
  <si>
    <t xml:space="preserve">FedAdagrad-num-updates100-lr0.0316227766016837-slr1.0</t>
  </si>
  <si>
    <t xml:space="preserve">FedAdagrad-num-updates100-lr0.1-slr0.001</t>
  </si>
  <si>
    <t xml:space="preserve">FedAdagrad-num-updates100-lr0.1-slr0.0031622776601683</t>
  </si>
  <si>
    <t xml:space="preserve">FedAdagrad-num-updates100-lr0.1-slr0.01</t>
  </si>
  <si>
    <t xml:space="preserve">FedAdagrad-num-updates100-lr0.1-slr0.0316227766016837</t>
  </si>
  <si>
    <t xml:space="preserve">FedAdagrad-num-updates100-lr0.1-slr0.1</t>
  </si>
  <si>
    <t xml:space="preserve">FedAdagrad-num-updates100-lr0.1-slr0.316227766016838</t>
  </si>
  <si>
    <t xml:space="preserve">FedAdagrad-num-updates100-lr0.1-slr1.0</t>
  </si>
  <si>
    <t xml:space="preserve">FedAdagrad-num-updates100-lr0.316227766016838-slr0.001</t>
  </si>
  <si>
    <t xml:space="preserve">FedAdagrad-num-updates100-lr0.316227766016838-slr0.0031622776601683</t>
  </si>
  <si>
    <t xml:space="preserve">FedAdagrad-num-updates100-lr0.316227766016838-slr0.01</t>
  </si>
  <si>
    <t xml:space="preserve">FedAdagrad-num-updates100-lr0.316227766016838-slr0.0316227766016837</t>
  </si>
  <si>
    <t xml:space="preserve">FedAdagrad-num-updates100-lr0.316227766016838-slr0.1</t>
  </si>
  <si>
    <t xml:space="preserve">FedAdagrad-num-updates100-lr0.316227766016838-slr0.316227766016838</t>
  </si>
  <si>
    <t xml:space="preserve">FedAdagrad-num-updates100-lr0.316227766016838-slr1.0</t>
  </si>
  <si>
    <t xml:space="preserve">FedAdagrad-num-updates100-lr0.316227766016838-slr10.0</t>
  </si>
  <si>
    <t xml:space="preserve">Scaffold-num-updates100-lr0.001-slr0.001</t>
  </si>
  <si>
    <t xml:space="preserve">Scaffold-num-updates100-lr0.001-slr0.0031622776601683</t>
  </si>
  <si>
    <t xml:space="preserve">Scaffold-num-updates100-lr0.001-slr0.01</t>
  </si>
  <si>
    <t xml:space="preserve">Scaffold-num-updates100-lr0.001-slr0.0316227766016837</t>
  </si>
  <si>
    <t xml:space="preserve">Scaffold-num-updates100-lr0.001-slr0.1</t>
  </si>
  <si>
    <t xml:space="preserve">Scaffold-num-updates100-lr0.001-slr0.316227766016838</t>
  </si>
  <si>
    <t xml:space="preserve">Scaffold-num-updates100-lr0.001-slr1.0</t>
  </si>
  <si>
    <t xml:space="preserve">Scaffold-num-updates100-lr0.001-slr10.0</t>
  </si>
  <si>
    <t xml:space="preserve">Scaffold-num-updates100-lr0.0031622776601683-slr0.001</t>
  </si>
  <si>
    <t xml:space="preserve">Scaffold-num-updates100-lr0.0031622776601683-slr0.0031622776601683</t>
  </si>
  <si>
    <t xml:space="preserve">Scaffold-num-updates100-lr0.0031622776601683-slr0.01</t>
  </si>
  <si>
    <t xml:space="preserve">Scaffold-num-updates100-lr0.0031622776601683-slr0.0316227766016837</t>
  </si>
  <si>
    <t xml:space="preserve">Scaffold-num-updates100-lr0.0031622776601683-slr0.1</t>
  </si>
  <si>
    <t xml:space="preserve">Scaffold-num-updates100-lr0.0031622776601683-slr0.316227766016838</t>
  </si>
  <si>
    <t xml:space="preserve">Scaffold-num-updates100-lr0.0031622776601683-slr1.0</t>
  </si>
  <si>
    <t xml:space="preserve">Scaffold-num-updates100-lr0.0031622776601683-slr10.0</t>
  </si>
  <si>
    <t xml:space="preserve">Scaffold-num-updates100-lr0.01-slr0.001</t>
  </si>
  <si>
    <t xml:space="preserve">Scaffold-num-updates100-lr0.01-slr0.0031622776601683</t>
  </si>
  <si>
    <t xml:space="preserve">Scaffold-num-updates100-lr0.01-slr0.01</t>
  </si>
  <si>
    <t xml:space="preserve">Scaffold-num-updates100-lr0.01-slr0.0316227766016837</t>
  </si>
  <si>
    <t xml:space="preserve">Scaffold-num-updates100-lr0.01-slr0.1</t>
  </si>
  <si>
    <t xml:space="preserve">Scaffold-num-updates100-lr0.01-slr0.316227766016838</t>
  </si>
  <si>
    <t xml:space="preserve">Scaffold-num-updates100-lr0.01-slr1.0</t>
  </si>
  <si>
    <t xml:space="preserve">Scaffold-num-updates100-lr0.01-slr10.0</t>
  </si>
  <si>
    <t xml:space="preserve">Scaffold-num-updates100-lr0.0316227766016837-slr0.001</t>
  </si>
  <si>
    <t xml:space="preserve">Scaffold-num-updates100-lr0.0316227766016837-slr0.0031622776601683</t>
  </si>
  <si>
    <t xml:space="preserve">Scaffold-num-updates100-lr0.0316227766016837-slr0.01</t>
  </si>
  <si>
    <t xml:space="preserve">Scaffold-num-updates100-lr0.0316227766016837-slr0.0316227766016837</t>
  </si>
  <si>
    <t xml:space="preserve">Scaffold-num-updates100-lr0.0316227766016837-slr0.1</t>
  </si>
  <si>
    <t xml:space="preserve">Scaffold-num-updates100-lr0.0316227766016837-slr0.316227766016838</t>
  </si>
  <si>
    <t xml:space="preserve">Scaffold-num-updates100-lr0.0316227766016837-slr1.0</t>
  </si>
  <si>
    <t xml:space="preserve">Scaffold-num-updates100-lr0.0316227766016837-slr10.0</t>
  </si>
  <si>
    <t xml:space="preserve">Scaffold-num-updates100-lr0.1-slr0.001</t>
  </si>
  <si>
    <t xml:space="preserve">Scaffold-num-updates100-lr0.1-slr0.0031622776601683</t>
  </si>
  <si>
    <t xml:space="preserve">Scaffold-num-updates100-lr0.1-slr0.01</t>
  </si>
  <si>
    <t xml:space="preserve">Scaffold-num-updates100-lr0.1-slr0.0316227766016837</t>
  </si>
  <si>
    <t xml:space="preserve">Scaffold-num-updates100-lr0.1-slr0.1</t>
  </si>
  <si>
    <t xml:space="preserve">Scaffold-num-updates100-lr0.1-slr0.316227766016838</t>
  </si>
  <si>
    <t xml:space="preserve">Scaffold-num-updates100-lr0.1-slr1.0</t>
  </si>
  <si>
    <t xml:space="preserve">Scaffold-num-updates100-lr0.316227766016838-slr0.001</t>
  </si>
  <si>
    <t xml:space="preserve">Scaffold-num-updates100-lr0.316227766016838-slr0.0031622776601683</t>
  </si>
  <si>
    <t xml:space="preserve">Scaffold-num-updates100-lr0.316227766016838-slr0.01</t>
  </si>
  <si>
    <t xml:space="preserve">Scaffold-num-updates100-lr0.316227766016838-slr0.0316227766016837</t>
  </si>
  <si>
    <t xml:space="preserve">Scaffold-num-updates100-lr0.316227766016838-slr0.1</t>
  </si>
  <si>
    <t xml:space="preserve">Scaffold-num-updates100-lr0.316227766016838-slr0.316227766016838</t>
  </si>
  <si>
    <t xml:space="preserve">Scaffold-num-updates100-lr0.316227766016838-slr1.0</t>
  </si>
  <si>
    <t xml:space="preserve">Cyclic-num-updates100-lr0.001-deterministic_cycleFalse</t>
  </si>
  <si>
    <t xml:space="preserve">Cyclic-num-updates100-lr0.0031622776601683-deterministic_cycleFalse</t>
  </si>
  <si>
    <t xml:space="preserve">Cyclic-num-updates100-lr0.01-deterministic_cycleFalse</t>
  </si>
  <si>
    <t xml:space="preserve">Cyclic-num-updates100-lr0.0316227766016837-deterministic_cycleFalse</t>
  </si>
  <si>
    <t xml:space="preserve">Cyclic-num-updates100-lr0.1-deterministic_cycleFalse</t>
  </si>
  <si>
    <t xml:space="preserve">Cyclic-num-updates100-lr0.316227766016838-deterministic_cycleFalse</t>
  </si>
  <si>
    <t xml:space="preserve">FedAvgFineTuning-num-updates100-lr0.001</t>
  </si>
  <si>
    <t xml:space="preserve">FedAvgFineTuning-num-updates100-lr0.0031622776601683</t>
  </si>
  <si>
    <t xml:space="preserve">FedAvgFineTuning-num-updates100-lr0.01</t>
  </si>
  <si>
    <t xml:space="preserve">FedAvgFineTuning-num-updates100-lr0.0316227766016837</t>
  </si>
  <si>
    <t xml:space="preserve">FedAvgFineTuning-num-updates100-lr0.1</t>
  </si>
  <si>
    <t xml:space="preserve">local_0</t>
  </si>
  <si>
    <t xml:space="preserve">local_1</t>
  </si>
  <si>
    <t xml:space="preserve">local_2</t>
  </si>
  <si>
    <t xml:space="preserve">local_3</t>
  </si>
  <si>
    <t xml:space="preserve">local_4</t>
  </si>
  <si>
    <t xml:space="preserve">local_5</t>
  </si>
  <si>
    <t xml:space="preserve">runs_best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</si>
</sst>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0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CE4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</row>
    <row r="8" customFormat="false" ht="52.2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39.5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13" min="7" style="0" width="12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</row>
    <row r="2" customFormat="false" ht="15" hidden="false" customHeight="false" outlineLevel="0" collapsed="false">
      <c r="A2" s="6" t="s">
        <v>31</v>
      </c>
      <c r="B2" s="7" t="n">
        <v>0.0005</v>
      </c>
      <c r="C2" s="7"/>
      <c r="D2" s="7"/>
      <c r="E2" s="6"/>
      <c r="F2" s="8" t="n">
        <v>0.749812893975871</v>
      </c>
      <c r="G2" s="8" t="n">
        <v>0.748906866256719</v>
      </c>
      <c r="H2" s="8" t="n">
        <v>0.688011920784465</v>
      </c>
      <c r="I2" s="8" t="n">
        <v>0.675419291589378</v>
      </c>
      <c r="J2" s="8" t="n">
        <v>0.671442623288961</v>
      </c>
      <c r="K2" s="8" t="n">
        <v>0.701710987425273</v>
      </c>
      <c r="L2" s="8" t="n">
        <v>0.656906906906907</v>
      </c>
      <c r="M2" s="9" t="n">
        <f aca="false">IF(COUNT(G2:L2)=6,AVERAGE(G2:L2),"")</f>
        <v>0.69039976604195</v>
      </c>
    </row>
    <row r="3" customFormat="false" ht="15" hidden="false" customHeight="false" outlineLevel="0" collapsed="false">
      <c r="A3" s="6" t="s">
        <v>32</v>
      </c>
      <c r="B3" s="7" t="n">
        <v>0.0005</v>
      </c>
      <c r="C3" s="7"/>
      <c r="D3" s="7"/>
      <c r="E3" s="6"/>
      <c r="F3" s="8" t="n">
        <v>0.65823531463715</v>
      </c>
      <c r="G3" s="8" t="n">
        <v>0.776801128264715</v>
      </c>
      <c r="H3" s="8" t="n">
        <v>0.461396312674913</v>
      </c>
      <c r="I3" s="8" t="n">
        <v>0.623105792368111</v>
      </c>
      <c r="J3" s="8" t="n">
        <v>0.350840330717809</v>
      </c>
      <c r="K3" s="8" t="n">
        <v>0.35827664399093</v>
      </c>
      <c r="L3" s="8" t="n">
        <v>0.654842342342342</v>
      </c>
      <c r="M3" s="9" t="n">
        <f aca="false">IF(COUNT(G3:L3)=6,AVERAGE(G3:L3),"")</f>
        <v>0.537543758393137</v>
      </c>
    </row>
    <row r="4" customFormat="false" ht="15" hidden="false" customHeight="false" outlineLevel="0" collapsed="false">
      <c r="A4" s="6" t="s">
        <v>33</v>
      </c>
      <c r="B4" s="7" t="n">
        <v>0.0005</v>
      </c>
      <c r="C4" s="7"/>
      <c r="D4" s="7"/>
      <c r="E4" s="6"/>
      <c r="F4" s="8" t="n">
        <v>0.277977209116297</v>
      </c>
      <c r="G4" s="8" t="n">
        <v>0.202433226021953</v>
      </c>
      <c r="H4" s="8" t="n">
        <v>0.771303595462411</v>
      </c>
      <c r="I4" s="8" t="n">
        <v>0.393611235588911</v>
      </c>
      <c r="J4" s="8" t="n">
        <v>0.183722181275997</v>
      </c>
      <c r="K4" s="8" t="n">
        <v>0.357864357864358</v>
      </c>
      <c r="L4" s="8" t="n">
        <v>0.203453453453453</v>
      </c>
      <c r="M4" s="9" t="n">
        <f aca="false">IF(COUNT(G4:L4)=6,AVERAGE(G4:L4),"")</f>
        <v>0.352064674944514</v>
      </c>
    </row>
    <row r="5" customFormat="false" ht="15" hidden="false" customHeight="false" outlineLevel="0" collapsed="false">
      <c r="A5" s="6" t="s">
        <v>34</v>
      </c>
      <c r="B5" s="7" t="n">
        <v>0.0005</v>
      </c>
      <c r="C5" s="7"/>
      <c r="D5" s="7"/>
      <c r="E5" s="6"/>
      <c r="F5" s="8" t="n">
        <v>0.449466324648654</v>
      </c>
      <c r="G5" s="8" t="n">
        <v>0.37421563113165</v>
      </c>
      <c r="H5" s="8" t="n">
        <v>0.694904825995001</v>
      </c>
      <c r="I5" s="8" t="n">
        <v>0.697254828413922</v>
      </c>
      <c r="J5" s="8" t="n">
        <v>0.391723159565413</v>
      </c>
      <c r="K5" s="8" t="n">
        <v>0.34817563388992</v>
      </c>
      <c r="L5" s="8" t="n">
        <v>0.669106606606607</v>
      </c>
      <c r="M5" s="9" t="n">
        <f aca="false">IF(COUNT(G5:L5)=6,AVERAGE(G5:L5),"")</f>
        <v>0.529230114267085</v>
      </c>
    </row>
    <row r="6" customFormat="false" ht="15" hidden="false" customHeight="false" outlineLevel="0" collapsed="false">
      <c r="A6" s="6" t="s">
        <v>35</v>
      </c>
      <c r="B6" s="7" t="n">
        <v>0.0005</v>
      </c>
      <c r="C6" s="7"/>
      <c r="D6" s="7"/>
      <c r="E6" s="6"/>
      <c r="F6" s="8" t="n">
        <v>0.350367713162916</v>
      </c>
      <c r="G6" s="8" t="n">
        <v>0.271505566108678</v>
      </c>
      <c r="H6" s="8" t="n">
        <v>0.439848106133436</v>
      </c>
      <c r="I6" s="8" t="n">
        <v>0.516374377336718</v>
      </c>
      <c r="J6" s="8" t="n">
        <v>0.709126563614779</v>
      </c>
      <c r="K6" s="8" t="n">
        <v>0.441043083900227</v>
      </c>
      <c r="L6" s="8" t="n">
        <v>0.372372372372372</v>
      </c>
      <c r="M6" s="9" t="n">
        <f aca="false">IF(COUNT(G6:L6)=6,AVERAGE(G6:L6),"")</f>
        <v>0.458378344911035</v>
      </c>
    </row>
    <row r="7" customFormat="false" ht="15" hidden="false" customHeight="false" outlineLevel="0" collapsed="false">
      <c r="A7" s="6" t="s">
        <v>36</v>
      </c>
      <c r="B7" s="7" t="n">
        <v>0.0005</v>
      </c>
      <c r="C7" s="7"/>
      <c r="D7" s="7"/>
      <c r="E7" s="6"/>
      <c r="F7" s="8" t="n">
        <v>0.19042508324615</v>
      </c>
      <c r="G7" s="8" t="n">
        <v>0.193942488903882</v>
      </c>
      <c r="H7" s="8" t="n">
        <v>0.354297250528744</v>
      </c>
      <c r="I7" s="8" t="n">
        <v>0.233099573688986</v>
      </c>
      <c r="J7" s="8" t="n">
        <v>0.219078540507112</v>
      </c>
      <c r="K7" s="8" t="n">
        <v>0.585240156668728</v>
      </c>
      <c r="L7" s="8" t="n">
        <v>0.382882882882883</v>
      </c>
      <c r="M7" s="9" t="n">
        <f aca="false">IF(COUNT(G7:L7)=6,AVERAGE(G7:L7),"")</f>
        <v>0.328090148863389</v>
      </c>
    </row>
    <row r="8" customFormat="false" ht="15" hidden="false" customHeight="false" outlineLevel="0" collapsed="false">
      <c r="A8" s="6" t="s">
        <v>37</v>
      </c>
      <c r="B8" s="7" t="n">
        <v>0.0005</v>
      </c>
      <c r="C8" s="7"/>
      <c r="D8" s="7"/>
      <c r="E8" s="6"/>
      <c r="F8" s="8" t="n">
        <v>0.141337581186341</v>
      </c>
      <c r="G8" s="8" t="n">
        <v>0.149960051479475</v>
      </c>
      <c r="H8" s="8" t="n">
        <v>0.229273216689098</v>
      </c>
      <c r="I8" s="8" t="n">
        <v>0.15692148011533</v>
      </c>
      <c r="J8" s="8" t="n">
        <v>0.154090527867436</v>
      </c>
      <c r="K8" s="8" t="n">
        <v>0.343640486497629</v>
      </c>
      <c r="L8" s="8" t="n">
        <v>0.364677177177177</v>
      </c>
      <c r="M8" s="9" t="n">
        <f aca="false">IF(COUNT(G8:L8)=6,AVERAGE(G8:L8),"")</f>
        <v>0.233093823304358</v>
      </c>
    </row>
    <row r="9" customFormat="false" ht="15" hidden="false" customHeight="false" outlineLevel="0" collapsed="false">
      <c r="A9" s="6" t="s">
        <v>38</v>
      </c>
      <c r="B9" s="7" t="n">
        <v>0.01</v>
      </c>
      <c r="C9" s="7"/>
      <c r="D9" s="7"/>
      <c r="E9" s="6"/>
      <c r="F9" s="8" t="n">
        <v>0.578040381356732</v>
      </c>
      <c r="G9" s="8" t="n">
        <v>0.604536836846348</v>
      </c>
      <c r="H9" s="8" t="n">
        <v>0.680744087675447</v>
      </c>
      <c r="I9" s="8" t="n">
        <v>0.572278216921779</v>
      </c>
      <c r="J9" s="8" t="n">
        <v>0.446484843328202</v>
      </c>
      <c r="K9" s="8" t="n">
        <v>0.478354978354978</v>
      </c>
      <c r="L9" s="8" t="n">
        <v>0.734234234234234</v>
      </c>
      <c r="M9" s="9" t="n">
        <f aca="false">IF(COUNT(G9:L9)=6,AVERAGE(G9:L9),"")</f>
        <v>0.586105532893498</v>
      </c>
    </row>
    <row r="10" customFormat="false" ht="15" hidden="false" customHeight="false" outlineLevel="0" collapsed="false">
      <c r="A10" s="6" t="s">
        <v>39</v>
      </c>
      <c r="B10" s="7" t="n">
        <v>0.01</v>
      </c>
      <c r="C10" s="7"/>
      <c r="D10" s="7" t="n">
        <v>0.001</v>
      </c>
      <c r="E10" s="6"/>
      <c r="F10" s="8" t="n">
        <v>0.58924230973093</v>
      </c>
      <c r="G10" s="8" t="n">
        <v>0.620204516272804</v>
      </c>
      <c r="H10" s="8" t="n">
        <v>0.733185925783503</v>
      </c>
      <c r="I10" s="8" t="n">
        <v>0.563682705232626</v>
      </c>
      <c r="J10" s="8" t="n">
        <v>0.460540147620042</v>
      </c>
      <c r="K10" s="8" t="n">
        <v>0.481653267367553</v>
      </c>
      <c r="L10" s="8" t="n">
        <v>0.776276276276276</v>
      </c>
      <c r="M10" s="9" t="n">
        <f aca="false">IF(COUNT(G10:L10)=6,AVERAGE(G10:L10),"")</f>
        <v>0.605923806425468</v>
      </c>
    </row>
    <row r="11" customFormat="false" ht="15" hidden="false" customHeight="false" outlineLevel="0" collapsed="false">
      <c r="A11" s="6" t="s">
        <v>40</v>
      </c>
      <c r="B11" s="7" t="n">
        <v>0.01</v>
      </c>
      <c r="C11" s="7" t="n">
        <v>0.0031622776601683</v>
      </c>
      <c r="D11" s="7"/>
      <c r="E11" s="6"/>
      <c r="F11" s="8" t="n">
        <v>0.589959824898343</v>
      </c>
      <c r="G11" s="8" t="n">
        <v>0.585971586498585</v>
      </c>
      <c r="H11" s="8" t="n">
        <v>0.634676023841569</v>
      </c>
      <c r="I11" s="8" t="n">
        <v>0.744014984850338</v>
      </c>
      <c r="J11" s="8" t="n">
        <v>0.537124223234153</v>
      </c>
      <c r="K11" s="8" t="n">
        <v>0.407235621521336</v>
      </c>
      <c r="L11" s="8" t="n">
        <v>0.751876876876877</v>
      </c>
      <c r="M11" s="9" t="n">
        <f aca="false">IF(COUNT(G11:L11)=6,AVERAGE(G11:L11),"")</f>
        <v>0.610149886137143</v>
      </c>
    </row>
    <row r="12" customFormat="false" ht="15" hidden="false" customHeight="false" outlineLevel="0" collapsed="false">
      <c r="A12" s="6" t="s">
        <v>41</v>
      </c>
      <c r="B12" s="7" t="n">
        <v>0.01</v>
      </c>
      <c r="C12" s="7" t="n">
        <v>0.0031622776601683</v>
      </c>
      <c r="D12" s="7"/>
      <c r="E12" s="6"/>
      <c r="F12" s="8" t="n">
        <v>0.56305463267471</v>
      </c>
      <c r="G12" s="8" t="n">
        <v>0.579773527472437</v>
      </c>
      <c r="H12" s="8" t="n">
        <v>0.685896942895597</v>
      </c>
      <c r="I12" s="8" t="n">
        <v>0.752361855350496</v>
      </c>
      <c r="J12" s="8" t="n">
        <v>0.423617751827571</v>
      </c>
      <c r="K12" s="8" t="n">
        <v>0.435786435786436</v>
      </c>
      <c r="L12" s="8" t="n">
        <v>0.77027027027027</v>
      </c>
      <c r="M12" s="9" t="n">
        <f aca="false">IF(COUNT(G12:L12)=6,AVERAGE(G12:L12),"")</f>
        <v>0.607951130600468</v>
      </c>
    </row>
    <row r="13" customFormat="false" ht="15" hidden="false" customHeight="false" outlineLevel="0" collapsed="false">
      <c r="A13" s="6" t="s">
        <v>42</v>
      </c>
      <c r="B13" s="7" t="n">
        <v>0.01</v>
      </c>
      <c r="C13" s="7" t="n">
        <v>0.0316227766016837</v>
      </c>
      <c r="D13" s="7"/>
      <c r="E13" s="6"/>
      <c r="F13" s="8" t="n">
        <v>0.544616346937807</v>
      </c>
      <c r="G13" s="8" t="n">
        <v>0.560313090243633</v>
      </c>
      <c r="H13" s="8" t="n">
        <v>0.560267256296866</v>
      </c>
      <c r="I13" s="8" t="n">
        <v>0.712526459887352</v>
      </c>
      <c r="J13" s="8" t="n">
        <v>0.415262659289716</v>
      </c>
      <c r="K13" s="8" t="n">
        <v>0.423933209647495</v>
      </c>
      <c r="L13" s="8" t="n">
        <v>0.72484984984985</v>
      </c>
      <c r="M13" s="9" t="n">
        <f aca="false">IF(COUNT(G13:L13)=6,AVERAGE(G13:L13),"")</f>
        <v>0.566192087535819</v>
      </c>
    </row>
    <row r="14" customFormat="false" ht="15" hidden="false" customHeight="false" outlineLevel="0" collapsed="false">
      <c r="A14" s="6" t="s">
        <v>43</v>
      </c>
      <c r="B14" s="7" t="n">
        <v>0.01</v>
      </c>
      <c r="C14" s="7" t="n">
        <v>1</v>
      </c>
      <c r="D14" s="7"/>
      <c r="E14" s="6"/>
      <c r="F14" s="8" t="n">
        <v>0.615720874203297</v>
      </c>
      <c r="G14" s="8" t="n">
        <v>0.658183928205202</v>
      </c>
      <c r="H14" s="8" t="n">
        <v>0.672495673908864</v>
      </c>
      <c r="I14" s="8" t="n">
        <v>0.59433968458027</v>
      </c>
      <c r="J14" s="8" t="n">
        <v>0.474193804437147</v>
      </c>
      <c r="K14" s="8" t="n">
        <v>0.35168006596578</v>
      </c>
      <c r="L14" s="8" t="n">
        <v>0.623310810810811</v>
      </c>
      <c r="M14" s="9" t="n">
        <f aca="false">IF(COUNT(G14:L14)=6,AVERAGE(G14:L14),"")</f>
        <v>0.562367327984679</v>
      </c>
    </row>
    <row r="15" customFormat="false" ht="15" hidden="false" customHeight="false" outlineLevel="0" collapsed="false">
      <c r="A15" s="6" t="s">
        <v>44</v>
      </c>
      <c r="B15" s="7" t="n">
        <v>0.0031622776601683</v>
      </c>
      <c r="C15" s="7"/>
      <c r="D15" s="7"/>
      <c r="E15" s="6"/>
      <c r="F15" s="8" t="n">
        <v>0.483503485309204</v>
      </c>
      <c r="G15" s="8" t="n">
        <v>0.500214011967088</v>
      </c>
      <c r="H15" s="8" t="n">
        <v>0.542323057531671</v>
      </c>
      <c r="I15" s="8" t="n">
        <v>0.445004056417406</v>
      </c>
      <c r="J15" s="8" t="n">
        <v>0.440007580269641</v>
      </c>
      <c r="K15" s="8" t="n">
        <v>0.320758606472892</v>
      </c>
      <c r="L15" s="8" t="n">
        <v>0.628378378378378</v>
      </c>
      <c r="M15" s="9" t="n">
        <f aca="false">IF(COUNT(G15:L15)=6,AVERAGE(G15:L15),"")</f>
        <v>0.479447615172846</v>
      </c>
    </row>
    <row r="16" customFormat="false" ht="15" hidden="false" customHeight="false" outlineLevel="0" collapsed="false">
      <c r="A16" s="6" t="s">
        <v>45</v>
      </c>
      <c r="B16" s="7" t="n">
        <v>0.01</v>
      </c>
      <c r="C16" s="7"/>
      <c r="D16" s="7"/>
      <c r="E16" s="6" t="n">
        <v>3</v>
      </c>
      <c r="F16" s="8" t="n">
        <v>0.613925876437741</v>
      </c>
      <c r="G16" s="8" t="n">
        <v>0.667310372624607</v>
      </c>
      <c r="H16" s="8" t="n">
        <v>0.661094020380696</v>
      </c>
      <c r="I16" s="8" t="n">
        <v>0.724352693620649</v>
      </c>
      <c r="J16" s="8" t="n">
        <v>0.444587989508435</v>
      </c>
      <c r="K16" s="8" t="n">
        <v>0.376932591218305</v>
      </c>
      <c r="L16" s="8" t="n">
        <v>0.64283033033033</v>
      </c>
      <c r="M16" s="9" t="n">
        <f aca="false">IF(COUNT(G16:L16)=6,AVERAGE(G16:L16),"")</f>
        <v>0.586184666280504</v>
      </c>
    </row>
  </sheetData>
  <autoFilter ref="A1:M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13" min="7" style="0" width="12"/>
    <col collapsed="false" customWidth="true" hidden="false" outlineLevel="0" max="16" min="14" style="0" width="16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46</v>
      </c>
      <c r="O1" s="5" t="s">
        <v>47</v>
      </c>
      <c r="P1" s="5" t="s">
        <v>48</v>
      </c>
    </row>
    <row r="2" customFormat="false" ht="15" hidden="false" customHeight="false" outlineLevel="0" collapsed="false">
      <c r="A2" s="6" t="s">
        <v>38</v>
      </c>
      <c r="B2" s="7" t="n">
        <v>0.001</v>
      </c>
      <c r="C2" s="7"/>
      <c r="D2" s="7"/>
      <c r="E2" s="6"/>
      <c r="F2" s="8" t="n">
        <v>0.513324048953797</v>
      </c>
      <c r="G2" s="8" t="n">
        <v>0.509359622128294</v>
      </c>
      <c r="H2" s="8" t="n">
        <v>0.635377811959239</v>
      </c>
      <c r="I2" s="8" t="n">
        <v>0.536514831844773</v>
      </c>
      <c r="J2" s="8" t="n">
        <v>0.449601096597608</v>
      </c>
      <c r="K2" s="8" t="n">
        <v>0.429189857761286</v>
      </c>
      <c r="L2" s="8" t="n">
        <v>0.601351351351351</v>
      </c>
      <c r="M2" s="9" t="n">
        <f aca="false">IF(COUNT(G2:L2)=6,AVERAGE(G2:L2),"")</f>
        <v>0.526899095273759</v>
      </c>
      <c r="N2" s="10" t="s">
        <v>49</v>
      </c>
      <c r="O2" s="10" t="n">
        <f aca="false">IF(F2="","",COUNTIFS($A$2:$A$234,A2,$F$2:$F$234,"&gt;"&amp;F2)+1)</f>
        <v>4</v>
      </c>
      <c r="P2" s="11" t="str">
        <f aca="false">A2&amp;"|"&amp;O2</f>
        <v>FedAvg|4</v>
      </c>
    </row>
    <row r="3" customFormat="false" ht="15" hidden="false" customHeight="false" outlineLevel="0" collapsed="false">
      <c r="A3" s="6" t="s">
        <v>38</v>
      </c>
      <c r="B3" s="7" t="n">
        <v>0.0031622776601683</v>
      </c>
      <c r="C3" s="7"/>
      <c r="D3" s="7"/>
      <c r="E3" s="6"/>
      <c r="F3" s="8" t="n">
        <v>0.583315660894507</v>
      </c>
      <c r="G3" s="8" t="n">
        <v>0.597221669308924</v>
      </c>
      <c r="H3" s="8" t="n">
        <v>0.718111901557393</v>
      </c>
      <c r="I3" s="8" t="n">
        <v>0.700863566025929</v>
      </c>
      <c r="J3" s="8" t="n">
        <v>0.509434323298869</v>
      </c>
      <c r="K3" s="8" t="n">
        <v>0.429189857761286</v>
      </c>
      <c r="L3" s="8" t="n">
        <v>0.701013513513514</v>
      </c>
      <c r="M3" s="9" t="n">
        <f aca="false">IF(COUNT(G3:L3)=6,AVERAGE(G3:L3),"")</f>
        <v>0.609305805244319</v>
      </c>
      <c r="N3" s="10" t="s">
        <v>49</v>
      </c>
      <c r="O3" s="10" t="n">
        <f aca="false">IF(F3="","",COUNTIFS($A$2:$A$234,A3,$F$2:$F$234,"&gt;"&amp;F3)+1)</f>
        <v>2</v>
      </c>
      <c r="P3" s="11" t="str">
        <f aca="false">A3&amp;"|"&amp;O3</f>
        <v>FedAvg|2</v>
      </c>
    </row>
    <row r="4" customFormat="false" ht="15" hidden="false" customHeight="false" outlineLevel="0" collapsed="false">
      <c r="A4" s="6" t="s">
        <v>38</v>
      </c>
      <c r="B4" s="7" t="n">
        <v>0.01</v>
      </c>
      <c r="C4" s="7"/>
      <c r="D4" s="7"/>
      <c r="E4" s="6"/>
      <c r="F4" s="8" t="n">
        <v>0.590984568399229</v>
      </c>
      <c r="G4" s="8" t="n">
        <v>0.629351825670839</v>
      </c>
      <c r="H4" s="8" t="n">
        <v>0.679667371659296</v>
      </c>
      <c r="I4" s="8" t="n">
        <v>0.686819199577825</v>
      </c>
      <c r="J4" s="8" t="n">
        <v>0.469878207387779</v>
      </c>
      <c r="K4" s="8" t="n">
        <v>0.403318903318903</v>
      </c>
      <c r="L4" s="8" t="n">
        <v>0.66478978978979</v>
      </c>
      <c r="M4" s="9" t="n">
        <f aca="false">IF(COUNT(G4:L4)=6,AVERAGE(G4:L4),"")</f>
        <v>0.588970882900739</v>
      </c>
      <c r="N4" s="10" t="s">
        <v>49</v>
      </c>
      <c r="O4" s="10" t="n">
        <f aca="false">IF(F4="","",COUNTIFS($A$2:$A$234,A4,$F$2:$F$234,"&gt;"&amp;F4)+1)</f>
        <v>1</v>
      </c>
      <c r="P4" s="11" t="str">
        <f aca="false">A4&amp;"|"&amp;O4</f>
        <v>FedAvg|1</v>
      </c>
    </row>
    <row r="5" customFormat="false" ht="15" hidden="false" customHeight="false" outlineLevel="0" collapsed="false">
      <c r="A5" s="6" t="s">
        <v>38</v>
      </c>
      <c r="B5" s="7" t="n">
        <v>0.0316227766016837</v>
      </c>
      <c r="C5" s="7"/>
      <c r="D5" s="7"/>
      <c r="E5" s="6"/>
      <c r="F5" s="8" t="n">
        <v>0.574990283600689</v>
      </c>
      <c r="G5" s="8" t="n">
        <v>0.607919273085517</v>
      </c>
      <c r="H5" s="8" t="n">
        <v>0.611565083637762</v>
      </c>
      <c r="I5" s="8" t="n">
        <v>0.711758129931684</v>
      </c>
      <c r="J5" s="8" t="n">
        <v>0.500880570973313</v>
      </c>
      <c r="K5" s="8" t="n">
        <v>0.356730571016285</v>
      </c>
      <c r="L5" s="8" t="n">
        <v>0.648836336336336</v>
      </c>
      <c r="M5" s="9" t="n">
        <f aca="false">IF(COUNT(G5:L5)=6,AVERAGE(G5:L5),"")</f>
        <v>0.572948327496816</v>
      </c>
      <c r="N5" s="10" t="s">
        <v>49</v>
      </c>
      <c r="O5" s="10" t="n">
        <f aca="false">IF(F5="","",COUNTIFS($A$2:$A$234,A5,$F$2:$F$234,"&gt;"&amp;F5)+1)</f>
        <v>3</v>
      </c>
      <c r="P5" s="11" t="str">
        <f aca="false">A5&amp;"|"&amp;O5</f>
        <v>FedAvg|3</v>
      </c>
    </row>
    <row r="6" customFormat="false" ht="15" hidden="false" customHeight="false" outlineLevel="0" collapsed="false">
      <c r="A6" s="6" t="s">
        <v>38</v>
      </c>
      <c r="B6" s="7" t="n">
        <v>0.1</v>
      </c>
      <c r="C6" s="7"/>
      <c r="D6" s="7"/>
      <c r="E6" s="6"/>
      <c r="F6" s="8" t="n">
        <v>0.247499399739111</v>
      </c>
      <c r="G6" s="8" t="n">
        <v>0.220630560515564</v>
      </c>
      <c r="H6" s="8" t="n">
        <v>0.537177679506078</v>
      </c>
      <c r="I6" s="8" t="n">
        <v>0.271777191360149</v>
      </c>
      <c r="J6" s="8" t="n">
        <v>0.292309451800646</v>
      </c>
      <c r="K6" s="8" t="n">
        <v>0.452174809317666</v>
      </c>
      <c r="L6" s="8" t="n">
        <v>0.295795795795796</v>
      </c>
      <c r="M6" s="9" t="n">
        <f aca="false">IF(COUNT(G6:L6)=6,AVERAGE(G6:L6),"")</f>
        <v>0.34497758138265</v>
      </c>
      <c r="N6" s="10" t="s">
        <v>49</v>
      </c>
      <c r="O6" s="10" t="n">
        <f aca="false">IF(F6="","",COUNTIFS($A$2:$A$234,A6,$F$2:$F$234,"&gt;"&amp;F6)+1)</f>
        <v>5</v>
      </c>
      <c r="P6" s="11" t="str">
        <f aca="false">A6&amp;"|"&amp;O6</f>
        <v>FedAvg|5</v>
      </c>
    </row>
    <row r="7" customFormat="false" ht="15" hidden="false" customHeight="false" outlineLevel="0" collapsed="false">
      <c r="A7" s="6" t="s">
        <v>38</v>
      </c>
      <c r="B7" s="7" t="n">
        <v>0.316227766016838</v>
      </c>
      <c r="C7" s="7"/>
      <c r="D7" s="7"/>
      <c r="E7" s="6"/>
      <c r="F7" s="8" t="n">
        <v>0.228531099177328</v>
      </c>
      <c r="G7" s="8" t="n">
        <v>0.228282831416506</v>
      </c>
      <c r="H7" s="8" t="n">
        <v>0.407296673716593</v>
      </c>
      <c r="I7" s="8" t="n">
        <v>0.270024822789368</v>
      </c>
      <c r="J7" s="8" t="n">
        <v>0.262213976499691</v>
      </c>
      <c r="K7" s="8" t="n">
        <v>0.129973201401773</v>
      </c>
      <c r="L7" s="8" t="n">
        <v>0.31006006006006</v>
      </c>
      <c r="M7" s="9" t="n">
        <f aca="false">IF(COUNT(G7:L7)=6,AVERAGE(G7:L7),"")</f>
        <v>0.267975260980665</v>
      </c>
      <c r="N7" s="10" t="s">
        <v>49</v>
      </c>
      <c r="O7" s="10" t="n">
        <f aca="false">IF(F7="","",COUNTIFS($A$2:$A$234,A7,$F$2:$F$234,"&gt;"&amp;F7)+1)</f>
        <v>6</v>
      </c>
      <c r="P7" s="11" t="str">
        <f aca="false">A7&amp;"|"&amp;O7</f>
        <v>FedAvg|6</v>
      </c>
    </row>
    <row r="8" customFormat="false" ht="15" hidden="false" customHeight="false" outlineLevel="0" collapsed="false">
      <c r="A8" s="6" t="s">
        <v>39</v>
      </c>
      <c r="B8" s="7" t="n">
        <v>0.001</v>
      </c>
      <c r="C8" s="7"/>
      <c r="D8" s="7" t="n">
        <v>0.001</v>
      </c>
      <c r="E8" s="6"/>
      <c r="F8" s="8" t="n">
        <v>0.513750078645738</v>
      </c>
      <c r="G8" s="8" t="n">
        <v>0.512253035271317</v>
      </c>
      <c r="H8" s="8" t="n">
        <v>0.61717938857912</v>
      </c>
      <c r="I8" s="8" t="n">
        <v>0.52200919410089</v>
      </c>
      <c r="J8" s="8" t="n">
        <v>0.46822894624307</v>
      </c>
      <c r="K8" s="8" t="n">
        <v>0.427437641723356</v>
      </c>
      <c r="L8" s="8" t="n">
        <v>0.576951951951952</v>
      </c>
      <c r="M8" s="9" t="n">
        <f aca="false">IF(COUNT(G8:L8)=6,AVERAGE(G8:L8),"")</f>
        <v>0.520676692978284</v>
      </c>
      <c r="N8" s="10" t="s">
        <v>49</v>
      </c>
      <c r="O8" s="10" t="n">
        <f aca="false">IF(F8="","",COUNTIFS($A$2:$A$234,A8,$F$2:$F$234,"&gt;"&amp;F8)+1)</f>
        <v>11</v>
      </c>
      <c r="P8" s="11" t="str">
        <f aca="false">A8&amp;"|"&amp;O8</f>
        <v>FedProx|11</v>
      </c>
    </row>
    <row r="9" customFormat="false" ht="15" hidden="false" customHeight="false" outlineLevel="0" collapsed="false">
      <c r="A9" s="6" t="s">
        <v>39</v>
      </c>
      <c r="B9" s="7" t="n">
        <v>0.001</v>
      </c>
      <c r="C9" s="7"/>
      <c r="D9" s="7" t="n">
        <v>0.01</v>
      </c>
      <c r="E9" s="6"/>
      <c r="F9" s="8" t="n">
        <v>0.509797863156317</v>
      </c>
      <c r="G9" s="8" t="n">
        <v>0.501045862473771</v>
      </c>
      <c r="H9" s="8" t="n">
        <v>0.634570274947126</v>
      </c>
      <c r="I9" s="8" t="n">
        <v>0.531135203226899</v>
      </c>
      <c r="J9" s="8" t="n">
        <v>0.477659991388401</v>
      </c>
      <c r="K9" s="8" t="n">
        <v>0.4004329004329</v>
      </c>
      <c r="L9" s="8" t="n">
        <v>0.573573573573574</v>
      </c>
      <c r="M9" s="9" t="n">
        <f aca="false">IF(COUNT(G9:L9)=6,AVERAGE(G9:L9),"")</f>
        <v>0.519736301007112</v>
      </c>
      <c r="N9" s="10" t="s">
        <v>49</v>
      </c>
      <c r="O9" s="10" t="n">
        <f aca="false">IF(F9="","",COUNTIFS($A$2:$A$234,A9,$F$2:$F$234,"&gt;"&amp;F9)+1)</f>
        <v>13</v>
      </c>
      <c r="P9" s="11" t="str">
        <f aca="false">A9&amp;"|"&amp;O9</f>
        <v>FedProx|13</v>
      </c>
    </row>
    <row r="10" customFormat="false" ht="15" hidden="false" customHeight="false" outlineLevel="0" collapsed="false">
      <c r="A10" s="6" t="s">
        <v>39</v>
      </c>
      <c r="B10" s="7" t="n">
        <v>0.001</v>
      </c>
      <c r="C10" s="7"/>
      <c r="D10" s="7" t="n">
        <v>0.1</v>
      </c>
      <c r="E10" s="6"/>
      <c r="F10" s="8" t="n">
        <v>0.513167700132688</v>
      </c>
      <c r="G10" s="8" t="n">
        <v>0.509730942441979</v>
      </c>
      <c r="H10" s="8" t="n">
        <v>0.627158238800231</v>
      </c>
      <c r="I10" s="8" t="n">
        <v>0.535994289718639</v>
      </c>
      <c r="J10" s="8" t="n">
        <v>0.460436738450862</v>
      </c>
      <c r="K10" s="8" t="n">
        <v>0.430942073799217</v>
      </c>
      <c r="L10" s="8" t="n">
        <v>0.549174174174174</v>
      </c>
      <c r="M10" s="9" t="n">
        <f aca="false">IF(COUNT(G10:L10)=6,AVERAGE(G10:L10),"")</f>
        <v>0.51890607623085</v>
      </c>
      <c r="N10" s="10" t="s">
        <v>49</v>
      </c>
      <c r="O10" s="10" t="n">
        <f aca="false">IF(F10="","",COUNTIFS($A$2:$A$234,A10,$F$2:$F$234,"&gt;"&amp;F10)+1)</f>
        <v>12</v>
      </c>
      <c r="P10" s="11" t="str">
        <f aca="false">A10&amp;"|"&amp;O10</f>
        <v>FedProx|12</v>
      </c>
    </row>
    <row r="11" customFormat="false" ht="15" hidden="false" customHeight="false" outlineLevel="0" collapsed="false">
      <c r="A11" s="6" t="s">
        <v>39</v>
      </c>
      <c r="B11" s="7" t="n">
        <v>0.001</v>
      </c>
      <c r="C11" s="7"/>
      <c r="D11" s="7" t="n">
        <v>1</v>
      </c>
      <c r="E11" s="6"/>
      <c r="F11" s="8" t="n">
        <v>0.507902981400849</v>
      </c>
      <c r="G11" s="8" t="n">
        <v>0.497555844404856</v>
      </c>
      <c r="H11" s="8" t="n">
        <v>0.63403191693905</v>
      </c>
      <c r="I11" s="8" t="n">
        <v>0.532623298464994</v>
      </c>
      <c r="J11" s="8" t="n">
        <v>0.470769367902015</v>
      </c>
      <c r="K11" s="8" t="n">
        <v>0.420841063698207</v>
      </c>
      <c r="L11" s="8" t="n">
        <v>0.545795795795796</v>
      </c>
      <c r="M11" s="9" t="n">
        <f aca="false">IF(COUNT(G11:L11)=6,AVERAGE(G11:L11),"")</f>
        <v>0.516936214534153</v>
      </c>
      <c r="N11" s="10" t="s">
        <v>49</v>
      </c>
      <c r="O11" s="10" t="n">
        <f aca="false">IF(F11="","",COUNTIFS($A$2:$A$234,A11,$F$2:$F$234,"&gt;"&amp;F11)+1)</f>
        <v>14</v>
      </c>
      <c r="P11" s="11" t="str">
        <f aca="false">A11&amp;"|"&amp;O11</f>
        <v>FedProx|14</v>
      </c>
    </row>
    <row r="12" customFormat="false" ht="15" hidden="false" customHeight="false" outlineLevel="0" collapsed="false">
      <c r="A12" s="6" t="s">
        <v>39</v>
      </c>
      <c r="B12" s="7" t="n">
        <v>0.0031622776601683</v>
      </c>
      <c r="C12" s="7"/>
      <c r="D12" s="7" t="n">
        <v>0.001</v>
      </c>
      <c r="E12" s="6"/>
      <c r="F12" s="8" t="n">
        <v>0.573384431367891</v>
      </c>
      <c r="G12" s="8" t="n">
        <v>0.602570374871207</v>
      </c>
      <c r="H12" s="8" t="n">
        <v>0.663122476446837</v>
      </c>
      <c r="I12" s="8" t="n">
        <v>0.692796038279605</v>
      </c>
      <c r="J12" s="8" t="n">
        <v>0.502781144944848</v>
      </c>
      <c r="K12" s="8" t="n">
        <v>0.432488146773861</v>
      </c>
      <c r="L12" s="8" t="n">
        <v>0.652965465465466</v>
      </c>
      <c r="M12" s="9" t="n">
        <f aca="false">IF(COUNT(G12:L12)=6,AVERAGE(G12:L12),"")</f>
        <v>0.591120607796971</v>
      </c>
      <c r="N12" s="10" t="s">
        <v>49</v>
      </c>
      <c r="O12" s="10" t="n">
        <f aca="false">IF(F12="","",COUNTIFS($A$2:$A$234,A12,$F$2:$F$234,"&gt;"&amp;F12)+1)</f>
        <v>8</v>
      </c>
      <c r="P12" s="11" t="str">
        <f aca="false">A12&amp;"|"&amp;O12</f>
        <v>FedProx|8</v>
      </c>
    </row>
    <row r="13" customFormat="false" ht="15" hidden="false" customHeight="false" outlineLevel="0" collapsed="false">
      <c r="A13" s="6" t="s">
        <v>39</v>
      </c>
      <c r="B13" s="7" t="n">
        <v>0.0031622776601683</v>
      </c>
      <c r="C13" s="7"/>
      <c r="D13" s="7" t="n">
        <v>0.01</v>
      </c>
      <c r="E13" s="6"/>
      <c r="F13" s="8" t="n">
        <v>0.583617505128513</v>
      </c>
      <c r="G13" s="8" t="n">
        <v>0.59232363022545</v>
      </c>
      <c r="H13" s="8" t="n">
        <v>0.658671409344357</v>
      </c>
      <c r="I13" s="8" t="n">
        <v>0.709858555342122</v>
      </c>
      <c r="J13" s="8" t="n">
        <v>0.544861420663344</v>
      </c>
      <c r="K13" s="8" t="n">
        <v>0.420634920634921</v>
      </c>
      <c r="L13" s="8" t="n">
        <v>0.663100600600601</v>
      </c>
      <c r="M13" s="9" t="n">
        <f aca="false">IF(COUNT(G13:L13)=6,AVERAGE(G13:L13),"")</f>
        <v>0.598241756135132</v>
      </c>
      <c r="N13" s="10" t="s">
        <v>49</v>
      </c>
      <c r="O13" s="10" t="n">
        <f aca="false">IF(F13="","",COUNTIFS($A$2:$A$234,A13,$F$2:$F$234,"&gt;"&amp;F13)+1)</f>
        <v>5</v>
      </c>
      <c r="P13" s="11" t="str">
        <f aca="false">A13&amp;"|"&amp;O13</f>
        <v>FedProx|5</v>
      </c>
    </row>
    <row r="14" customFormat="false" ht="15" hidden="false" customHeight="false" outlineLevel="0" collapsed="false">
      <c r="A14" s="6" t="s">
        <v>39</v>
      </c>
      <c r="B14" s="7" t="n">
        <v>0.0031622776601683</v>
      </c>
      <c r="C14" s="7"/>
      <c r="D14" s="7" t="n">
        <v>0.1</v>
      </c>
      <c r="E14" s="6"/>
      <c r="F14" s="8" t="n">
        <v>0.56946188284947</v>
      </c>
      <c r="G14" s="8" t="n">
        <v>0.583796478128679</v>
      </c>
      <c r="H14" s="8" t="n">
        <v>0.721611228609883</v>
      </c>
      <c r="I14" s="8" t="n">
        <v>0.553656826080436</v>
      </c>
      <c r="J14" s="8" t="n">
        <v>0.490395599465624</v>
      </c>
      <c r="K14" s="8" t="n">
        <v>0.422387136672851</v>
      </c>
      <c r="L14" s="8" t="n">
        <v>0.663100600600601</v>
      </c>
      <c r="M14" s="9" t="n">
        <f aca="false">IF(COUNT(G14:L14)=6,AVERAGE(G14:L14),"")</f>
        <v>0.572491311593012</v>
      </c>
      <c r="N14" s="10" t="s">
        <v>49</v>
      </c>
      <c r="O14" s="10" t="n">
        <f aca="false">IF(F14="","",COUNTIFS($A$2:$A$234,A14,$F$2:$F$234,"&gt;"&amp;F14)+1)</f>
        <v>9</v>
      </c>
      <c r="P14" s="11" t="str">
        <f aca="false">A14&amp;"|"&amp;O14</f>
        <v>FedProx|9</v>
      </c>
    </row>
    <row r="15" customFormat="false" ht="15" hidden="false" customHeight="false" outlineLevel="0" collapsed="false">
      <c r="A15" s="6" t="s">
        <v>39</v>
      </c>
      <c r="B15" s="7" t="n">
        <v>0.0031622776601683</v>
      </c>
      <c r="C15" s="7"/>
      <c r="D15" s="7" t="n">
        <v>1</v>
      </c>
      <c r="E15" s="6"/>
      <c r="F15" s="8" t="n">
        <v>0.576779689722018</v>
      </c>
      <c r="G15" s="8" t="n">
        <v>0.586596623912341</v>
      </c>
      <c r="H15" s="8" t="n">
        <v>0.658940588348395</v>
      </c>
      <c r="I15" s="8" t="n">
        <v>0.694747202090195</v>
      </c>
      <c r="J15" s="8" t="n">
        <v>0.540303037669668</v>
      </c>
      <c r="K15" s="8" t="n">
        <v>0.425685425685426</v>
      </c>
      <c r="L15" s="8" t="n">
        <v>0.603978978978979</v>
      </c>
      <c r="M15" s="9" t="n">
        <f aca="false">IF(COUNT(G15:L15)=6,AVERAGE(G15:L15),"")</f>
        <v>0.585041976114167</v>
      </c>
      <c r="N15" s="10" t="s">
        <v>49</v>
      </c>
      <c r="O15" s="10" t="n">
        <f aca="false">IF(F15="","",COUNTIFS($A$2:$A$234,A15,$F$2:$F$234,"&gt;"&amp;F15)+1)</f>
        <v>7</v>
      </c>
      <c r="P15" s="11" t="str">
        <f aca="false">A15&amp;"|"&amp;O15</f>
        <v>FedProx|7</v>
      </c>
    </row>
    <row r="16" customFormat="false" ht="15" hidden="false" customHeight="false" outlineLevel="0" collapsed="false">
      <c r="A16" s="6" t="s">
        <v>39</v>
      </c>
      <c r="B16" s="7" t="n">
        <v>0.01</v>
      </c>
      <c r="C16" s="7"/>
      <c r="D16" s="7" t="n">
        <v>0.001</v>
      </c>
      <c r="E16" s="6"/>
      <c r="F16" s="8" t="n">
        <v>0.604705618194138</v>
      </c>
      <c r="G16" s="8" t="n">
        <v>0.651952656382155</v>
      </c>
      <c r="H16" s="8" t="n">
        <v>0.709065564314555</v>
      </c>
      <c r="I16" s="8" t="n">
        <v>0.720053690854373</v>
      </c>
      <c r="J16" s="8" t="n">
        <v>0.453341138285408</v>
      </c>
      <c r="K16" s="8" t="n">
        <v>0.406823335394764</v>
      </c>
      <c r="L16" s="8" t="n">
        <v>0.762762762762763</v>
      </c>
      <c r="M16" s="9" t="n">
        <f aca="false">IF(COUNT(G16:L16)=6,AVERAGE(G16:L16),"")</f>
        <v>0.617333191332336</v>
      </c>
      <c r="N16" s="10" t="s">
        <v>49</v>
      </c>
      <c r="O16" s="10" t="n">
        <f aca="false">IF(F16="","",COUNTIFS($A$2:$A$234,A16,$F$2:$F$234,"&gt;"&amp;F16)+1)</f>
        <v>2</v>
      </c>
      <c r="P16" s="11" t="str">
        <f aca="false">A16&amp;"|"&amp;O16</f>
        <v>FedProx|2</v>
      </c>
    </row>
    <row r="17" customFormat="false" ht="15" hidden="false" customHeight="false" outlineLevel="0" collapsed="false">
      <c r="A17" s="6" t="s">
        <v>39</v>
      </c>
      <c r="B17" s="7" t="n">
        <v>0.01</v>
      </c>
      <c r="C17" s="7"/>
      <c r="D17" s="7" t="n">
        <v>0.01</v>
      </c>
      <c r="E17" s="6"/>
      <c r="F17" s="8" t="n">
        <v>0.618180873342815</v>
      </c>
      <c r="G17" s="8" t="n">
        <v>0.643882977958636</v>
      </c>
      <c r="H17" s="8" t="n">
        <v>0.696106517977312</v>
      </c>
      <c r="I17" s="8" t="n">
        <v>0.748713573803071</v>
      </c>
      <c r="J17" s="8" t="n">
        <v>0.516933854596579</v>
      </c>
      <c r="K17" s="8" t="n">
        <v>0.398268398268398</v>
      </c>
      <c r="L17" s="8" t="n">
        <v>0.700262762762763</v>
      </c>
      <c r="M17" s="9" t="n">
        <f aca="false">IF(COUNT(G17:L17)=6,AVERAGE(G17:L17),"")</f>
        <v>0.617361347561127</v>
      </c>
      <c r="N17" s="10" t="s">
        <v>49</v>
      </c>
      <c r="O17" s="10" t="n">
        <f aca="false">IF(F17="","",COUNTIFS($A$2:$A$234,A17,$F$2:$F$234,"&gt;"&amp;F17)+1)</f>
        <v>1</v>
      </c>
      <c r="P17" s="11" t="str">
        <f aca="false">A17&amp;"|"&amp;O17</f>
        <v>FedProx|1</v>
      </c>
    </row>
    <row r="18" customFormat="false" ht="15" hidden="false" customHeight="false" outlineLevel="0" collapsed="false">
      <c r="A18" s="6" t="s">
        <v>39</v>
      </c>
      <c r="B18" s="7" t="n">
        <v>0.01</v>
      </c>
      <c r="C18" s="7"/>
      <c r="D18" s="7" t="n">
        <v>0.1</v>
      </c>
      <c r="E18" s="6"/>
      <c r="F18" s="8" t="n">
        <v>0.599711564647724</v>
      </c>
      <c r="G18" s="8" t="n">
        <v>0.631856799479555</v>
      </c>
      <c r="H18" s="8" t="n">
        <v>0.718217650451836</v>
      </c>
      <c r="I18" s="8" t="n">
        <v>0.589765821876967</v>
      </c>
      <c r="J18" s="8" t="n">
        <v>0.466437877332968</v>
      </c>
      <c r="K18" s="8" t="n">
        <v>0.434034219748506</v>
      </c>
      <c r="L18" s="8" t="n">
        <v>0.756006006006006</v>
      </c>
      <c r="M18" s="9" t="n">
        <f aca="false">IF(COUNT(G18:L18)=6,AVERAGE(G18:L18),"")</f>
        <v>0.599386395815973</v>
      </c>
      <c r="N18" s="10" t="s">
        <v>49</v>
      </c>
      <c r="O18" s="10" t="n">
        <f aca="false">IF(F18="","",COUNTIFS($A$2:$A$234,A18,$F$2:$F$234,"&gt;"&amp;F18)+1)</f>
        <v>3</v>
      </c>
      <c r="P18" s="11" t="str">
        <f aca="false">A18&amp;"|"&amp;O18</f>
        <v>FedProx|3</v>
      </c>
    </row>
    <row r="19" customFormat="false" ht="15" hidden="false" customHeight="false" outlineLevel="0" collapsed="false">
      <c r="A19" s="6" t="s">
        <v>39</v>
      </c>
      <c r="B19" s="7" t="n">
        <v>0.01</v>
      </c>
      <c r="C19" s="7"/>
      <c r="D19" s="7" t="n">
        <v>1</v>
      </c>
      <c r="E19" s="6"/>
      <c r="F19" s="8" t="n">
        <v>0.581309821819233</v>
      </c>
      <c r="G19" s="8" t="n">
        <v>0.61217485880764</v>
      </c>
      <c r="H19" s="8" t="n">
        <v>0.650576812151509</v>
      </c>
      <c r="I19" s="8" t="n">
        <v>0.519859470720616</v>
      </c>
      <c r="J19" s="8" t="n">
        <v>0.472866539002845</v>
      </c>
      <c r="K19" s="8" t="n">
        <v>0.41713048855906</v>
      </c>
      <c r="L19" s="8" t="n">
        <v>0.686749249249249</v>
      </c>
      <c r="M19" s="9" t="n">
        <f aca="false">IF(COUNT(G19:L19)=6,AVERAGE(G19:L19),"")</f>
        <v>0.55989290308182</v>
      </c>
      <c r="N19" s="10" t="s">
        <v>49</v>
      </c>
      <c r="O19" s="10" t="n">
        <f aca="false">IF(F19="","",COUNTIFS($A$2:$A$234,A19,$F$2:$F$234,"&gt;"&amp;F19)+1)</f>
        <v>6</v>
      </c>
      <c r="P19" s="11" t="str">
        <f aca="false">A19&amp;"|"&amp;O19</f>
        <v>FedProx|6</v>
      </c>
    </row>
    <row r="20" customFormat="false" ht="15" hidden="false" customHeight="false" outlineLevel="0" collapsed="false">
      <c r="A20" s="6" t="s">
        <v>39</v>
      </c>
      <c r="B20" s="7" t="n">
        <v>0.0316227766016837</v>
      </c>
      <c r="C20" s="7"/>
      <c r="D20" s="7" t="n">
        <v>0.001</v>
      </c>
      <c r="E20" s="6"/>
      <c r="F20" s="8" t="n">
        <v>0.594666229325386</v>
      </c>
      <c r="G20" s="8" t="n">
        <v>0.618764809491805</v>
      </c>
      <c r="H20" s="8" t="n">
        <v>0.717986925591233</v>
      </c>
      <c r="I20" s="8" t="n">
        <v>0.731672160553658</v>
      </c>
      <c r="J20" s="8" t="n">
        <v>0.515442184237385</v>
      </c>
      <c r="K20" s="8" t="n">
        <v>0.417336631622346</v>
      </c>
      <c r="L20" s="8" t="n">
        <v>0.781343843843844</v>
      </c>
      <c r="M20" s="9" t="n">
        <f aca="false">IF(COUNT(G20:L20)=6,AVERAGE(G20:L20),"")</f>
        <v>0.630424425890045</v>
      </c>
      <c r="N20" s="10" t="s">
        <v>49</v>
      </c>
      <c r="O20" s="10" t="n">
        <f aca="false">IF(F20="","",COUNTIFS($A$2:$A$234,A20,$F$2:$F$234,"&gt;"&amp;F20)+1)</f>
        <v>4</v>
      </c>
      <c r="P20" s="11" t="str">
        <f aca="false">A20&amp;"|"&amp;O20</f>
        <v>FedProx|4</v>
      </c>
    </row>
    <row r="21" customFormat="false" ht="15" hidden="false" customHeight="false" outlineLevel="0" collapsed="false">
      <c r="A21" s="6" t="s">
        <v>39</v>
      </c>
      <c r="B21" s="7" t="n">
        <v>0.0316227766016837</v>
      </c>
      <c r="C21" s="7"/>
      <c r="D21" s="7" t="n">
        <v>0.01</v>
      </c>
      <c r="E21" s="6"/>
      <c r="F21" s="8" t="n">
        <v>0.447063002490188</v>
      </c>
      <c r="G21" s="8" t="n">
        <v>0.444791901507153</v>
      </c>
      <c r="H21" s="8" t="n">
        <v>0.751403576235339</v>
      </c>
      <c r="I21" s="8" t="n">
        <v>0.540211675591933</v>
      </c>
      <c r="J21" s="8" t="n">
        <v>0.348417904169627</v>
      </c>
      <c r="K21" s="8" t="n">
        <v>0.466501752216038</v>
      </c>
      <c r="L21" s="8" t="n">
        <v>0.47484984984985</v>
      </c>
      <c r="M21" s="9" t="n">
        <f aca="false">IF(COUNT(G21:L21)=6,AVERAGE(G21:L21),"")</f>
        <v>0.50436277659499</v>
      </c>
      <c r="N21" s="10" t="s">
        <v>49</v>
      </c>
      <c r="O21" s="10" t="n">
        <f aca="false">IF(F21="","",COUNTIFS($A$2:$A$234,A21,$F$2:$F$234,"&gt;"&amp;F21)+1)</f>
        <v>15</v>
      </c>
      <c r="P21" s="11" t="str">
        <f aca="false">A21&amp;"|"&amp;O21</f>
        <v>FedProx|15</v>
      </c>
    </row>
    <row r="22" customFormat="false" ht="15" hidden="false" customHeight="false" outlineLevel="0" collapsed="false">
      <c r="A22" s="6" t="s">
        <v>39</v>
      </c>
      <c r="B22" s="7" t="n">
        <v>0.0316227766016837</v>
      </c>
      <c r="C22" s="7"/>
      <c r="D22" s="7" t="n">
        <v>0.1</v>
      </c>
      <c r="E22" s="6"/>
      <c r="F22" s="8" t="n">
        <v>0.433498618848008</v>
      </c>
      <c r="G22" s="8" t="n">
        <v>0.412924262117431</v>
      </c>
      <c r="H22" s="8" t="n">
        <v>0.694154970198039</v>
      </c>
      <c r="I22" s="8" t="n">
        <v>0.656093245837016</v>
      </c>
      <c r="J22" s="8" t="n">
        <v>0.370756328954236</v>
      </c>
      <c r="K22" s="8" t="n">
        <v>0.414038342609771</v>
      </c>
      <c r="L22" s="8" t="n">
        <v>0.61768018018018</v>
      </c>
      <c r="M22" s="9" t="n">
        <f aca="false">IF(COUNT(G22:L22)=6,AVERAGE(G22:L22),"")</f>
        <v>0.527607888316112</v>
      </c>
      <c r="N22" s="10" t="s">
        <v>49</v>
      </c>
      <c r="O22" s="10" t="n">
        <f aca="false">IF(F22="","",COUNTIFS($A$2:$A$234,A22,$F$2:$F$234,"&gt;"&amp;F22)+1)</f>
        <v>16</v>
      </c>
      <c r="P22" s="11" t="str">
        <f aca="false">A22&amp;"|"&amp;O22</f>
        <v>FedProx|16</v>
      </c>
    </row>
    <row r="23" customFormat="false" ht="15" hidden="false" customHeight="false" outlineLevel="0" collapsed="false">
      <c r="A23" s="6" t="s">
        <v>39</v>
      </c>
      <c r="B23" s="7" t="n">
        <v>0.0316227766016837</v>
      </c>
      <c r="C23" s="7"/>
      <c r="D23" s="7" t="n">
        <v>1</v>
      </c>
      <c r="E23" s="6"/>
      <c r="F23" s="8" t="n">
        <v>0.54465336154499</v>
      </c>
      <c r="G23" s="8" t="n">
        <v>0.560537905850659</v>
      </c>
      <c r="H23" s="8" t="n">
        <v>0.712334166506441</v>
      </c>
      <c r="I23" s="8" t="n">
        <v>0.708416755473216</v>
      </c>
      <c r="J23" s="8" t="n">
        <v>0.429470802886101</v>
      </c>
      <c r="K23" s="8" t="n">
        <v>0.358070500927644</v>
      </c>
      <c r="L23" s="8" t="n">
        <v>0.750187687687688</v>
      </c>
      <c r="M23" s="9" t="n">
        <f aca="false">IF(COUNT(G23:L23)=6,AVERAGE(G23:L23),"")</f>
        <v>0.586502969888625</v>
      </c>
      <c r="N23" s="10" t="s">
        <v>49</v>
      </c>
      <c r="O23" s="10" t="n">
        <f aca="false">IF(F23="","",COUNTIFS($A$2:$A$234,A23,$F$2:$F$234,"&gt;"&amp;F23)+1)</f>
        <v>10</v>
      </c>
      <c r="P23" s="11" t="str">
        <f aca="false">A23&amp;"|"&amp;O23</f>
        <v>FedProx|10</v>
      </c>
    </row>
    <row r="24" customFormat="false" ht="15" hidden="false" customHeight="false" outlineLevel="0" collapsed="false">
      <c r="A24" s="6" t="s">
        <v>39</v>
      </c>
      <c r="B24" s="7" t="n">
        <v>0.1</v>
      </c>
      <c r="C24" s="7"/>
      <c r="D24" s="7" t="n">
        <v>0.001</v>
      </c>
      <c r="E24" s="6"/>
      <c r="F24" s="8" t="n">
        <v>0.358979034624722</v>
      </c>
      <c r="G24" s="8" t="n">
        <v>0.341202064428382</v>
      </c>
      <c r="H24" s="8" t="n">
        <v>0.633733897327437</v>
      </c>
      <c r="I24" s="8" t="n">
        <v>0.398258515788677</v>
      </c>
      <c r="J24" s="8" t="n">
        <v>0.346287049120368</v>
      </c>
      <c r="K24" s="8" t="n">
        <v>0.316120387548959</v>
      </c>
      <c r="L24" s="8" t="n">
        <v>0.610923423423423</v>
      </c>
      <c r="M24" s="9" t="n">
        <f aca="false">IF(COUNT(G24:L24)=6,AVERAGE(G24:L24),"")</f>
        <v>0.441087556272874</v>
      </c>
      <c r="N24" s="10" t="s">
        <v>49</v>
      </c>
      <c r="O24" s="10" t="n">
        <f aca="false">IF(F24="","",COUNTIFS($A$2:$A$234,A24,$F$2:$F$234,"&gt;"&amp;F24)+1)</f>
        <v>17</v>
      </c>
      <c r="P24" s="11" t="str">
        <f aca="false">A24&amp;"|"&amp;O24</f>
        <v>FedProx|17</v>
      </c>
    </row>
    <row r="25" customFormat="false" ht="15" hidden="false" customHeight="false" outlineLevel="0" collapsed="false">
      <c r="A25" s="6" t="s">
        <v>39</v>
      </c>
      <c r="B25" s="7" t="n">
        <v>0.1</v>
      </c>
      <c r="C25" s="7"/>
      <c r="D25" s="7" t="n">
        <v>0.01</v>
      </c>
      <c r="E25" s="6"/>
      <c r="F25" s="8" t="n">
        <v>0.239458101817994</v>
      </c>
      <c r="G25" s="8" t="n">
        <v>0.205813402856046</v>
      </c>
      <c r="H25" s="8" t="n">
        <v>0.627243692452306</v>
      </c>
      <c r="I25" s="8" t="n">
        <v>0.255287058079791</v>
      </c>
      <c r="J25" s="8" t="n">
        <v>0.256988249845393</v>
      </c>
      <c r="K25" s="8" t="n">
        <v>0.372706658420944</v>
      </c>
      <c r="L25" s="8" t="n">
        <v>0.395082582582583</v>
      </c>
      <c r="M25" s="9" t="n">
        <f aca="false">IF(COUNT(G25:L25)=6,AVERAGE(G25:L25),"")</f>
        <v>0.352186940706177</v>
      </c>
      <c r="N25" s="10" t="s">
        <v>49</v>
      </c>
      <c r="O25" s="10" t="n">
        <f aca="false">IF(F25="","",COUNTIFS($A$2:$A$234,A25,$F$2:$F$234,"&gt;"&amp;F25)+1)</f>
        <v>19</v>
      </c>
      <c r="P25" s="11" t="str">
        <f aca="false">A25&amp;"|"&amp;O25</f>
        <v>FedProx|19</v>
      </c>
    </row>
    <row r="26" customFormat="false" ht="15" hidden="false" customHeight="false" outlineLevel="0" collapsed="false">
      <c r="A26" s="6" t="s">
        <v>39</v>
      </c>
      <c r="B26" s="7" t="n">
        <v>0.1</v>
      </c>
      <c r="C26" s="7"/>
      <c r="D26" s="7" t="n">
        <v>0.1</v>
      </c>
      <c r="E26" s="6"/>
      <c r="F26" s="8" t="n">
        <v>0.33856078317223</v>
      </c>
      <c r="G26" s="8" t="n">
        <v>0.313083914070586</v>
      </c>
      <c r="H26" s="8" t="n">
        <v>0.423831955393194</v>
      </c>
      <c r="I26" s="8" t="n">
        <v>0.376959656317532</v>
      </c>
      <c r="J26" s="8" t="n">
        <v>0.294947518235189</v>
      </c>
      <c r="K26" s="8" t="n">
        <v>0.194083694083694</v>
      </c>
      <c r="L26" s="8" t="n">
        <v>0.532282282282282</v>
      </c>
      <c r="M26" s="9" t="n">
        <f aca="false">IF(COUNT(G26:L26)=6,AVERAGE(G26:L26),"")</f>
        <v>0.355864836730413</v>
      </c>
      <c r="N26" s="10" t="s">
        <v>49</v>
      </c>
      <c r="O26" s="10" t="n">
        <f aca="false">IF(F26="","",COUNTIFS($A$2:$A$234,A26,$F$2:$F$234,"&gt;"&amp;F26)+1)</f>
        <v>18</v>
      </c>
      <c r="P26" s="11" t="str">
        <f aca="false">A26&amp;"|"&amp;O26</f>
        <v>FedProx|18</v>
      </c>
    </row>
    <row r="27" customFormat="false" ht="15" hidden="false" customHeight="false" outlineLevel="0" collapsed="false">
      <c r="A27" s="6" t="s">
        <v>39</v>
      </c>
      <c r="B27" s="7" t="n">
        <v>0.1</v>
      </c>
      <c r="C27" s="7"/>
      <c r="D27" s="7" t="n">
        <v>1</v>
      </c>
      <c r="E27" s="6"/>
      <c r="F27" s="8" t="n">
        <v>0.219649232273667</v>
      </c>
      <c r="G27" s="8" t="n">
        <v>0.220453574809538</v>
      </c>
      <c r="H27" s="8" t="n">
        <v>0.276049477664552</v>
      </c>
      <c r="I27" s="8" t="n">
        <v>0.164889587636656</v>
      </c>
      <c r="J27" s="8" t="n">
        <v>0.206623527639438</v>
      </c>
      <c r="K27" s="8" t="n">
        <v>0.043908472479901</v>
      </c>
      <c r="L27" s="8" t="n">
        <v>0.359984984984985</v>
      </c>
      <c r="M27" s="9" t="n">
        <f aca="false">IF(COUNT(G27:L27)=6,AVERAGE(G27:L27),"")</f>
        <v>0.211984937535845</v>
      </c>
      <c r="N27" s="10" t="s">
        <v>49</v>
      </c>
      <c r="O27" s="10" t="n">
        <f aca="false">IF(F27="","",COUNTIFS($A$2:$A$234,A27,$F$2:$F$234,"&gt;"&amp;F27)+1)</f>
        <v>21</v>
      </c>
      <c r="P27" s="11" t="str">
        <f aca="false">A27&amp;"|"&amp;O27</f>
        <v>FedProx|21</v>
      </c>
    </row>
    <row r="28" customFormat="false" ht="15" hidden="false" customHeight="false" outlineLevel="0" collapsed="false">
      <c r="A28" s="6" t="s">
        <v>39</v>
      </c>
      <c r="B28" s="7" t="n">
        <v>0.316227766016838</v>
      </c>
      <c r="C28" s="7"/>
      <c r="D28" s="7" t="n">
        <v>0.001</v>
      </c>
      <c r="E28" s="6"/>
      <c r="F28" s="8" t="n">
        <v>0.229426071390457</v>
      </c>
      <c r="G28" s="8" t="n">
        <v>0.221215200050223</v>
      </c>
      <c r="H28" s="8" t="n">
        <v>0.482166890982503</v>
      </c>
      <c r="I28" s="8" t="n">
        <v>0.257180011094629</v>
      </c>
      <c r="J28" s="8" t="n">
        <v>0.274211502782931</v>
      </c>
      <c r="K28" s="8" t="n">
        <v>0.178726035868893</v>
      </c>
      <c r="L28" s="8" t="n">
        <v>0.441066066066066</v>
      </c>
      <c r="M28" s="9" t="n">
        <f aca="false">IF(COUNT(G28:L28)=6,AVERAGE(G28:L28),"")</f>
        <v>0.309094284474208</v>
      </c>
      <c r="N28" s="10" t="s">
        <v>49</v>
      </c>
      <c r="O28" s="10" t="n">
        <f aca="false">IF(F28="","",COUNTIFS($A$2:$A$234,A28,$F$2:$F$234,"&gt;"&amp;F28)+1)</f>
        <v>20</v>
      </c>
      <c r="P28" s="11" t="str">
        <f aca="false">A28&amp;"|"&amp;O28</f>
        <v>FedProx|20</v>
      </c>
    </row>
    <row r="29" customFormat="false" ht="15" hidden="false" customHeight="false" outlineLevel="0" collapsed="false">
      <c r="A29" s="6" t="s">
        <v>39</v>
      </c>
      <c r="B29" s="7" t="n">
        <v>0.316227766016838</v>
      </c>
      <c r="C29" s="7"/>
      <c r="D29" s="7" t="n">
        <v>0.01</v>
      </c>
      <c r="E29" s="6"/>
      <c r="F29" s="8" t="n">
        <v>0.214303581190022</v>
      </c>
      <c r="G29" s="8" t="n">
        <v>0.20065038338461</v>
      </c>
      <c r="H29" s="8" t="n">
        <v>0.41040718665214</v>
      </c>
      <c r="I29" s="8" t="n">
        <v>0.256757123934934</v>
      </c>
      <c r="J29" s="8" t="n">
        <v>0.240878169449598</v>
      </c>
      <c r="K29" s="8" t="n">
        <v>0.202844774273346</v>
      </c>
      <c r="L29" s="8" t="n">
        <v>0.283783783783784</v>
      </c>
      <c r="M29" s="9" t="n">
        <f aca="false">IF(COUNT(G29:L29)=6,AVERAGE(G29:L29),"")</f>
        <v>0.265886903579735</v>
      </c>
      <c r="N29" s="10" t="s">
        <v>49</v>
      </c>
      <c r="O29" s="10" t="n">
        <f aca="false">IF(F29="","",COUNTIFS($A$2:$A$234,A29,$F$2:$F$234,"&gt;"&amp;F29)+1)</f>
        <v>22</v>
      </c>
      <c r="P29" s="11" t="str">
        <f aca="false">A29&amp;"|"&amp;O29</f>
        <v>FedProx|22</v>
      </c>
    </row>
    <row r="30" customFormat="false" ht="15" hidden="false" customHeight="false" outlineLevel="0" collapsed="false">
      <c r="A30" s="6" t="s">
        <v>39</v>
      </c>
      <c r="B30" s="7" t="n">
        <v>0.316227766016838</v>
      </c>
      <c r="C30" s="7"/>
      <c r="D30" s="7" t="n">
        <v>0.1</v>
      </c>
      <c r="E30" s="6"/>
      <c r="F30" s="8" t="n">
        <v>0.130010299626091</v>
      </c>
      <c r="G30" s="8" t="n">
        <v>0.133635269170585</v>
      </c>
      <c r="H30" s="8" t="n">
        <v>0.201345895020188</v>
      </c>
      <c r="I30" s="8" t="n">
        <v>0.150355169692186</v>
      </c>
      <c r="J30" s="8" t="n">
        <v>0.153988868274583</v>
      </c>
      <c r="K30" s="8" t="n">
        <v>0</v>
      </c>
      <c r="L30" s="8" t="n">
        <v>0.0135135135135135</v>
      </c>
      <c r="M30" s="9" t="n">
        <f aca="false">IF(COUNT(G30:L30)=6,AVERAGE(G30:L30),"")</f>
        <v>0.108806452611843</v>
      </c>
      <c r="N30" s="10" t="s">
        <v>49</v>
      </c>
      <c r="O30" s="10" t="n">
        <f aca="false">IF(F30="","",COUNTIFS($A$2:$A$234,A30,$F$2:$F$234,"&gt;"&amp;F30)+1)</f>
        <v>24</v>
      </c>
      <c r="P30" s="11" t="str">
        <f aca="false">A30&amp;"|"&amp;O30</f>
        <v>FedProx|24</v>
      </c>
    </row>
    <row r="31" customFormat="false" ht="15" hidden="false" customHeight="false" outlineLevel="0" collapsed="false">
      <c r="A31" s="6" t="s">
        <v>39</v>
      </c>
      <c r="B31" s="7" t="n">
        <v>0.316227766016838</v>
      </c>
      <c r="C31" s="7"/>
      <c r="D31" s="7" t="n">
        <v>1</v>
      </c>
      <c r="E31" s="6"/>
      <c r="F31" s="8" t="n">
        <v>0.143516729536202</v>
      </c>
      <c r="G31" s="8" t="n">
        <v>0.136045060687034</v>
      </c>
      <c r="H31" s="8" t="n">
        <v>0.213526244952894</v>
      </c>
      <c r="I31" s="8" t="n">
        <v>0.173804960026631</v>
      </c>
      <c r="J31" s="8" t="n">
        <v>0.188311688311688</v>
      </c>
      <c r="K31" s="8" t="n">
        <v>0.376211090496805</v>
      </c>
      <c r="L31" s="8" t="n">
        <v>0.297297297297297</v>
      </c>
      <c r="M31" s="9" t="n">
        <f aca="false">IF(COUNT(G31:L31)=6,AVERAGE(G31:L31),"")</f>
        <v>0.230866056962058</v>
      </c>
      <c r="N31" s="10" t="s">
        <v>49</v>
      </c>
      <c r="O31" s="10" t="n">
        <f aca="false">IF(F31="","",COUNTIFS($A$2:$A$234,A31,$F$2:$F$234,"&gt;"&amp;F31)+1)</f>
        <v>23</v>
      </c>
      <c r="P31" s="11" t="str">
        <f aca="false">A31&amp;"|"&amp;O31</f>
        <v>FedProx|23</v>
      </c>
    </row>
    <row r="32" customFormat="false" ht="15" hidden="false" customHeight="false" outlineLevel="0" collapsed="false">
      <c r="A32" s="6" t="s">
        <v>40</v>
      </c>
      <c r="B32" s="7" t="n">
        <v>0.001</v>
      </c>
      <c r="C32" s="7" t="n">
        <v>0.001</v>
      </c>
      <c r="D32" s="7"/>
      <c r="E32" s="6"/>
      <c r="F32" s="8" t="n">
        <v>0.416933464781615</v>
      </c>
      <c r="G32" s="8" t="n">
        <v>0.388656571269916</v>
      </c>
      <c r="H32" s="8" t="n">
        <v>0.601711209382811</v>
      </c>
      <c r="I32" s="8" t="n">
        <v>0.462201140709146</v>
      </c>
      <c r="J32" s="8" t="n">
        <v>0.395724735289102</v>
      </c>
      <c r="K32" s="8" t="n">
        <v>0.38857967429396</v>
      </c>
      <c r="L32" s="8" t="n">
        <v>0.709647147147147</v>
      </c>
      <c r="M32" s="9" t="n">
        <f aca="false">IF(COUNT(G32:L32)=6,AVERAGE(G32:L32),"")</f>
        <v>0.49108674634868</v>
      </c>
      <c r="N32" s="10" t="s">
        <v>49</v>
      </c>
      <c r="O32" s="10" t="n">
        <f aca="false">IF(F32="","",COUNTIFS($A$2:$A$234,A32,$F$2:$F$234,"&gt;"&amp;F32)+1)</f>
        <v>11</v>
      </c>
      <c r="P32" s="11" t="str">
        <f aca="false">A32&amp;"|"&amp;O32</f>
        <v>FedAdam|11</v>
      </c>
    </row>
    <row r="33" customFormat="false" ht="15" hidden="false" customHeight="false" outlineLevel="0" collapsed="false">
      <c r="A33" s="6" t="s">
        <v>40</v>
      </c>
      <c r="B33" s="7" t="n">
        <v>0.001</v>
      </c>
      <c r="C33" s="7" t="n">
        <v>0.0031622776601683</v>
      </c>
      <c r="D33" s="7"/>
      <c r="E33" s="6"/>
      <c r="F33" s="8" t="n">
        <v>0.478831746143607</v>
      </c>
      <c r="G33" s="8" t="n">
        <v>0.475731374844723</v>
      </c>
      <c r="H33" s="8" t="n">
        <v>0.559123245529706</v>
      </c>
      <c r="I33" s="8" t="n">
        <v>0.638324981261051</v>
      </c>
      <c r="J33" s="8" t="n">
        <v>0.460900762925778</v>
      </c>
      <c r="K33" s="8" t="n">
        <v>0.378272521129664</v>
      </c>
      <c r="L33" s="8" t="n">
        <v>0.618243243243243</v>
      </c>
      <c r="M33" s="9" t="n">
        <f aca="false">IF(COUNT(G33:L33)=6,AVERAGE(G33:L33),"")</f>
        <v>0.521766021489028</v>
      </c>
      <c r="N33" s="10" t="s">
        <v>49</v>
      </c>
      <c r="O33" s="10" t="n">
        <f aca="false">IF(F33="","",COUNTIFS($A$2:$A$234,A33,$F$2:$F$234,"&gt;"&amp;F33)+1)</f>
        <v>7</v>
      </c>
      <c r="P33" s="11" t="str">
        <f aca="false">A33&amp;"|"&amp;O33</f>
        <v>FedAdam|7</v>
      </c>
    </row>
    <row r="34" customFormat="false" ht="15" hidden="false" customHeight="false" outlineLevel="0" collapsed="false">
      <c r="A34" s="6" t="s">
        <v>40</v>
      </c>
      <c r="B34" s="7" t="n">
        <v>0.001</v>
      </c>
      <c r="C34" s="7" t="n">
        <v>0.01</v>
      </c>
      <c r="D34" s="7"/>
      <c r="E34" s="6"/>
      <c r="F34" s="8" t="n">
        <v>0.499751175340032</v>
      </c>
      <c r="G34" s="8" t="n">
        <v>0.522220210379651</v>
      </c>
      <c r="H34" s="8" t="n">
        <v>0.638982887906172</v>
      </c>
      <c r="I34" s="8" t="n">
        <v>0.625170486242056</v>
      </c>
      <c r="J34" s="8" t="n">
        <v>0.351259252956692</v>
      </c>
      <c r="K34" s="8" t="n">
        <v>0.344465058750773</v>
      </c>
      <c r="L34" s="8" t="n">
        <v>0.561373873873874</v>
      </c>
      <c r="M34" s="9" t="n">
        <f aca="false">IF(COUNT(G34:L34)=6,AVERAGE(G34:L34),"")</f>
        <v>0.507245295018203</v>
      </c>
      <c r="N34" s="10" t="s">
        <v>49</v>
      </c>
      <c r="O34" s="10" t="n">
        <f aca="false">IF(F34="","",COUNTIFS($A$2:$A$234,A34,$F$2:$F$234,"&gt;"&amp;F34)+1)</f>
        <v>5</v>
      </c>
      <c r="P34" s="11" t="str">
        <f aca="false">A34&amp;"|"&amp;O34</f>
        <v>FedAdam|5</v>
      </c>
    </row>
    <row r="35" customFormat="false" ht="15" hidden="false" customHeight="false" outlineLevel="0" collapsed="false">
      <c r="A35" s="6" t="s">
        <v>40</v>
      </c>
      <c r="B35" s="7" t="n">
        <v>0.001</v>
      </c>
      <c r="C35" s="7" t="n">
        <v>0.0316227766016837</v>
      </c>
      <c r="D35" s="7"/>
      <c r="E35" s="6"/>
      <c r="F35" s="8" t="n">
        <v>0.455861375777209</v>
      </c>
      <c r="G35" s="8" t="n">
        <v>0.442507177170498</v>
      </c>
      <c r="H35" s="8" t="n">
        <v>0.465477792732167</v>
      </c>
      <c r="I35" s="8" t="n">
        <v>0.51225874942613</v>
      </c>
      <c r="J35" s="8" t="n">
        <v>0.390163513561795</v>
      </c>
      <c r="K35" s="8" t="n">
        <v>0.443413729128015</v>
      </c>
      <c r="L35" s="8" t="n">
        <v>0.753003003003003</v>
      </c>
      <c r="M35" s="9" t="n">
        <f aca="false">IF(COUNT(G35:L35)=6,AVERAGE(G35:L35),"")</f>
        <v>0.501137327503601</v>
      </c>
      <c r="N35" s="10" t="s">
        <v>49</v>
      </c>
      <c r="O35" s="10" t="n">
        <f aca="false">IF(F35="","",COUNTIFS($A$2:$A$234,A35,$F$2:$F$234,"&gt;"&amp;F35)+1)</f>
        <v>8</v>
      </c>
      <c r="P35" s="11" t="str">
        <f aca="false">A35&amp;"|"&amp;O35</f>
        <v>FedAdam|8</v>
      </c>
    </row>
    <row r="36" customFormat="false" ht="15" hidden="false" customHeight="false" outlineLevel="0" collapsed="false">
      <c r="A36" s="6" t="s">
        <v>40</v>
      </c>
      <c r="B36" s="7" t="n">
        <v>0.001</v>
      </c>
      <c r="C36" s="7" t="n">
        <v>0.1</v>
      </c>
      <c r="D36" s="7"/>
      <c r="E36" s="6"/>
      <c r="F36" s="8" t="n">
        <v>0.125</v>
      </c>
      <c r="G36" s="8" t="n">
        <v>0.125</v>
      </c>
      <c r="H36" s="8" t="n">
        <v>0.2</v>
      </c>
      <c r="I36" s="8" t="n">
        <v>0.142857142857143</v>
      </c>
      <c r="J36" s="8" t="n">
        <v>0.142857142857143</v>
      </c>
      <c r="K36" s="8" t="n">
        <v>0.333333333333333</v>
      </c>
      <c r="L36" s="8" t="n">
        <v>0.25</v>
      </c>
      <c r="M36" s="9" t="n">
        <f aca="false">IF(COUNT(G36:L36)=6,AVERAGE(G36:L36),"")</f>
        <v>0.199007936507936</v>
      </c>
      <c r="N36" s="10" t="s">
        <v>49</v>
      </c>
      <c r="O36" s="10" t="n">
        <f aca="false">IF(F36="","",COUNTIFS($A$2:$A$234,A36,$F$2:$F$234,"&gt;"&amp;F36)+1)</f>
        <v>19</v>
      </c>
      <c r="P36" s="11" t="str">
        <f aca="false">A36&amp;"|"&amp;O36</f>
        <v>FedAdam|19</v>
      </c>
    </row>
    <row r="37" customFormat="false" ht="15" hidden="false" customHeight="false" outlineLevel="0" collapsed="false">
      <c r="A37" s="6" t="s">
        <v>40</v>
      </c>
      <c r="B37" s="7" t="n">
        <v>0.001</v>
      </c>
      <c r="C37" s="7" t="n">
        <v>0.316227766016838</v>
      </c>
      <c r="D37" s="7"/>
      <c r="E37" s="6"/>
      <c r="F37" s="8" t="n">
        <v>0.125</v>
      </c>
      <c r="G37" s="8" t="n">
        <v>0.125</v>
      </c>
      <c r="H37" s="8" t="n">
        <v>0.2</v>
      </c>
      <c r="I37" s="8" t="n">
        <v>0.142857142857143</v>
      </c>
      <c r="J37" s="8" t="n">
        <v>0.142857142857143</v>
      </c>
      <c r="K37" s="8" t="n">
        <v>0.333333333333333</v>
      </c>
      <c r="L37" s="8" t="n">
        <v>0.25</v>
      </c>
      <c r="M37" s="9" t="n">
        <f aca="false">IF(COUNT(G37:L37)=6,AVERAGE(G37:L37),"")</f>
        <v>0.199007936507936</v>
      </c>
      <c r="N37" s="10" t="s">
        <v>49</v>
      </c>
      <c r="O37" s="10" t="n">
        <f aca="false">IF(F37="","",COUNTIFS($A$2:$A$234,A37,$F$2:$F$234,"&gt;"&amp;F37)+1)</f>
        <v>19</v>
      </c>
      <c r="P37" s="11" t="str">
        <f aca="false">A37&amp;"|"&amp;O37</f>
        <v>FedAdam|19</v>
      </c>
    </row>
    <row r="38" customFormat="false" ht="15" hidden="false" customHeight="false" outlineLevel="0" collapsed="false">
      <c r="A38" s="12" t="s">
        <v>40</v>
      </c>
      <c r="B38" s="13" t="n">
        <v>0.001</v>
      </c>
      <c r="C38" s="13" t="n">
        <v>1</v>
      </c>
      <c r="D38" s="13"/>
      <c r="E38" s="12"/>
      <c r="F38" s="14"/>
      <c r="G38" s="14"/>
      <c r="H38" s="14"/>
      <c r="I38" s="14"/>
      <c r="J38" s="14"/>
      <c r="K38" s="14"/>
      <c r="L38" s="14"/>
      <c r="M38" s="15" t="str">
        <f aca="false">IF(COUNT(G38:L38)=6,AVERAGE(G38:L38),"")</f>
        <v/>
      </c>
      <c r="N38" s="16" t="s">
        <v>50</v>
      </c>
      <c r="O38" s="16" t="str">
        <f aca="false">IF(F38="","",COUNTIFS($A$2:$A$234,A38,$F$2:$F$234,"&gt;"&amp;F38)+1)</f>
        <v/>
      </c>
      <c r="P38" s="17" t="str">
        <f aca="false">A38&amp;"|"&amp;O38</f>
        <v>FedAdam|</v>
      </c>
    </row>
    <row r="39" customFormat="false" ht="15" hidden="false" customHeight="false" outlineLevel="0" collapsed="false">
      <c r="A39" s="12" t="s">
        <v>40</v>
      </c>
      <c r="B39" s="13" t="n">
        <v>0.001</v>
      </c>
      <c r="C39" s="13" t="n">
        <v>10</v>
      </c>
      <c r="D39" s="13"/>
      <c r="E39" s="12"/>
      <c r="F39" s="14"/>
      <c r="G39" s="14"/>
      <c r="H39" s="14"/>
      <c r="I39" s="14"/>
      <c r="J39" s="14"/>
      <c r="K39" s="14"/>
      <c r="L39" s="14"/>
      <c r="M39" s="15" t="str">
        <f aca="false">IF(COUNT(G39:L39)=6,AVERAGE(G39:L39),"")</f>
        <v/>
      </c>
      <c r="N39" s="16" t="s">
        <v>50</v>
      </c>
      <c r="O39" s="16" t="str">
        <f aca="false">IF(F39="","",COUNTIFS($A$2:$A$234,A39,$F$2:$F$234,"&gt;"&amp;F39)+1)</f>
        <v/>
      </c>
      <c r="P39" s="17" t="str">
        <f aca="false">A39&amp;"|"&amp;O39</f>
        <v>FedAdam|</v>
      </c>
    </row>
    <row r="40" customFormat="false" ht="15" hidden="false" customHeight="false" outlineLevel="0" collapsed="false">
      <c r="A40" s="6" t="s">
        <v>40</v>
      </c>
      <c r="B40" s="7" t="n">
        <v>0.0031622776601683</v>
      </c>
      <c r="C40" s="7" t="n">
        <v>0.001</v>
      </c>
      <c r="D40" s="7"/>
      <c r="E40" s="6"/>
      <c r="F40" s="8" t="n">
        <v>0.4495363960537</v>
      </c>
      <c r="G40" s="8" t="n">
        <v>0.45632550468008</v>
      </c>
      <c r="H40" s="8" t="n">
        <v>0.608604114593348</v>
      </c>
      <c r="I40" s="8" t="n">
        <v>0.499760781493502</v>
      </c>
      <c r="J40" s="8" t="n">
        <v>0.38297723009286</v>
      </c>
      <c r="K40" s="8" t="n">
        <v>0.324263038548753</v>
      </c>
      <c r="L40" s="8" t="n">
        <v>0.690878378378378</v>
      </c>
      <c r="M40" s="9" t="n">
        <f aca="false">IF(COUNT(G40:L40)=6,AVERAGE(G40:L40),"")</f>
        <v>0.493801507964487</v>
      </c>
      <c r="N40" s="10" t="s">
        <v>49</v>
      </c>
      <c r="O40" s="10" t="n">
        <f aca="false">IF(F40="","",COUNTIFS($A$2:$A$234,A40,$F$2:$F$234,"&gt;"&amp;F40)+1)</f>
        <v>9</v>
      </c>
      <c r="P40" s="11" t="str">
        <f aca="false">A40&amp;"|"&amp;O40</f>
        <v>FedAdam|9</v>
      </c>
    </row>
    <row r="41" customFormat="false" ht="15" hidden="false" customHeight="false" outlineLevel="0" collapsed="false">
      <c r="A41" s="6" t="s">
        <v>40</v>
      </c>
      <c r="B41" s="7" t="n">
        <v>0.0031622776601683</v>
      </c>
      <c r="C41" s="7" t="n">
        <v>0.0031622776601683</v>
      </c>
      <c r="D41" s="7"/>
      <c r="E41" s="6"/>
      <c r="F41" s="8" t="n">
        <v>0.562211355386382</v>
      </c>
      <c r="G41" s="8" t="n">
        <v>0.565960623969662</v>
      </c>
      <c r="H41" s="8" t="n">
        <v>0.698442607190925</v>
      </c>
      <c r="I41" s="8" t="n">
        <v>0.677833676642731</v>
      </c>
      <c r="J41" s="8" t="n">
        <v>0.524012916661602</v>
      </c>
      <c r="K41" s="8" t="n">
        <v>0.351061636775923</v>
      </c>
      <c r="L41" s="8" t="n">
        <v>0.564564564564565</v>
      </c>
      <c r="M41" s="9" t="n">
        <f aca="false">IF(COUNT(G41:L41)=6,AVERAGE(G41:L41),"")</f>
        <v>0.563646004300901</v>
      </c>
      <c r="N41" s="10" t="s">
        <v>49</v>
      </c>
      <c r="O41" s="10" t="n">
        <f aca="false">IF(F41="","",COUNTIFS($A$2:$A$234,A41,$F$2:$F$234,"&gt;"&amp;F41)+1)</f>
        <v>2</v>
      </c>
      <c r="P41" s="11" t="str">
        <f aca="false">A41&amp;"|"&amp;O41</f>
        <v>FedAdam|2</v>
      </c>
    </row>
    <row r="42" customFormat="false" ht="15" hidden="false" customHeight="false" outlineLevel="0" collapsed="false">
      <c r="A42" s="6" t="s">
        <v>40</v>
      </c>
      <c r="B42" s="7" t="n">
        <v>0.0031622776601683</v>
      </c>
      <c r="C42" s="7" t="n">
        <v>0.01</v>
      </c>
      <c r="D42" s="7"/>
      <c r="E42" s="6"/>
      <c r="F42" s="8" t="n">
        <v>0.482357161797794</v>
      </c>
      <c r="G42" s="8" t="n">
        <v>0.50557077725341</v>
      </c>
      <c r="H42" s="8" t="n">
        <v>0.56393001345895</v>
      </c>
      <c r="I42" s="8" t="n">
        <v>0.485035254865563</v>
      </c>
      <c r="J42" s="8" t="n">
        <v>0.359337617769508</v>
      </c>
      <c r="K42" s="8" t="n">
        <v>0.461245104102247</v>
      </c>
      <c r="L42" s="8" t="n">
        <v>0.643956456456457</v>
      </c>
      <c r="M42" s="9" t="n">
        <f aca="false">IF(COUNT(G42:L42)=6,AVERAGE(G42:L42),"")</f>
        <v>0.503179203984356</v>
      </c>
      <c r="N42" s="10" t="s">
        <v>49</v>
      </c>
      <c r="O42" s="10" t="n">
        <f aca="false">IF(F42="","",COUNTIFS($A$2:$A$234,A42,$F$2:$F$234,"&gt;"&amp;F42)+1)</f>
        <v>6</v>
      </c>
      <c r="P42" s="11" t="str">
        <f aca="false">A42&amp;"|"&amp;O42</f>
        <v>FedAdam|6</v>
      </c>
    </row>
    <row r="43" customFormat="false" ht="15" hidden="false" customHeight="false" outlineLevel="0" collapsed="false">
      <c r="A43" s="6" t="s">
        <v>40</v>
      </c>
      <c r="B43" s="7" t="n">
        <v>0.0031622776601683</v>
      </c>
      <c r="C43" s="7" t="n">
        <v>0.0316227766016837</v>
      </c>
      <c r="D43" s="7"/>
      <c r="E43" s="6"/>
      <c r="F43" s="8" t="n">
        <v>0.3990412636836</v>
      </c>
      <c r="G43" s="8" t="n">
        <v>0.396620256165941</v>
      </c>
      <c r="H43" s="8" t="n">
        <v>0.539915400884445</v>
      </c>
      <c r="I43" s="8" t="n">
        <v>0.493694543975015</v>
      </c>
      <c r="J43" s="8" t="n">
        <v>0.302785049262544</v>
      </c>
      <c r="K43" s="8" t="n">
        <v>0.412079983508555</v>
      </c>
      <c r="L43" s="8" t="n">
        <v>0.641141141141141</v>
      </c>
      <c r="M43" s="9" t="n">
        <f aca="false">IF(COUNT(G43:L43)=6,AVERAGE(G43:L43),"")</f>
        <v>0.464372729156274</v>
      </c>
      <c r="N43" s="10" t="s">
        <v>49</v>
      </c>
      <c r="O43" s="10" t="n">
        <f aca="false">IF(F43="","",COUNTIFS($A$2:$A$234,A43,$F$2:$F$234,"&gt;"&amp;F43)+1)</f>
        <v>12</v>
      </c>
      <c r="P43" s="11" t="str">
        <f aca="false">A43&amp;"|"&amp;O43</f>
        <v>FedAdam|12</v>
      </c>
    </row>
    <row r="44" customFormat="false" ht="15" hidden="false" customHeight="false" outlineLevel="0" collapsed="false">
      <c r="A44" s="6" t="s">
        <v>40</v>
      </c>
      <c r="B44" s="7" t="n">
        <v>0.0031622776601683</v>
      </c>
      <c r="C44" s="7" t="n">
        <v>0.1</v>
      </c>
      <c r="D44" s="7"/>
      <c r="E44" s="6"/>
      <c r="F44" s="8" t="n">
        <v>0.13255310865605</v>
      </c>
      <c r="G44" s="8" t="n">
        <v>0.126513930462814</v>
      </c>
      <c r="H44" s="8" t="n">
        <v>0.0928571428571428</v>
      </c>
      <c r="I44" s="8" t="n">
        <v>0.0982142857142857</v>
      </c>
      <c r="J44" s="8" t="n">
        <v>0.171768707482993</v>
      </c>
      <c r="K44" s="8" t="n">
        <v>0.26530612244898</v>
      </c>
      <c r="L44" s="8" t="n">
        <v>0.25</v>
      </c>
      <c r="M44" s="9" t="n">
        <f aca="false">IF(COUNT(G44:L44)=6,AVERAGE(G44:L44),"")</f>
        <v>0.167443364827703</v>
      </c>
      <c r="N44" s="10" t="s">
        <v>49</v>
      </c>
      <c r="O44" s="10" t="n">
        <f aca="false">IF(F44="","",COUNTIFS($A$2:$A$234,A44,$F$2:$F$234,"&gt;"&amp;F44)+1)</f>
        <v>17</v>
      </c>
      <c r="P44" s="11" t="str">
        <f aca="false">A44&amp;"|"&amp;O44</f>
        <v>FedAdam|17</v>
      </c>
    </row>
    <row r="45" customFormat="false" ht="15" hidden="false" customHeight="false" outlineLevel="0" collapsed="false">
      <c r="A45" s="6" t="s">
        <v>40</v>
      </c>
      <c r="B45" s="7" t="n">
        <v>0.0031622776601683</v>
      </c>
      <c r="C45" s="7" t="n">
        <v>0.316227766016838</v>
      </c>
      <c r="D45" s="7"/>
      <c r="E45" s="6"/>
      <c r="F45" s="8" t="n">
        <v>0.125</v>
      </c>
      <c r="G45" s="8" t="n">
        <v>0.125</v>
      </c>
      <c r="H45" s="8" t="n">
        <v>0.2</v>
      </c>
      <c r="I45" s="8" t="n">
        <v>0.142857142857143</v>
      </c>
      <c r="J45" s="8" t="n">
        <v>0.142857142857143</v>
      </c>
      <c r="K45" s="8" t="n">
        <v>0</v>
      </c>
      <c r="L45" s="8" t="n">
        <v>0</v>
      </c>
      <c r="M45" s="9" t="n">
        <f aca="false">IF(COUNT(G45:L45)=6,AVERAGE(G45:L45),"")</f>
        <v>0.101785714285714</v>
      </c>
      <c r="N45" s="10" t="s">
        <v>49</v>
      </c>
      <c r="O45" s="10" t="n">
        <f aca="false">IF(F45="","",COUNTIFS($A$2:$A$234,A45,$F$2:$F$234,"&gt;"&amp;F45)+1)</f>
        <v>19</v>
      </c>
      <c r="P45" s="11" t="str">
        <f aca="false">A45&amp;"|"&amp;O45</f>
        <v>FedAdam|19</v>
      </c>
    </row>
    <row r="46" customFormat="false" ht="15" hidden="false" customHeight="false" outlineLevel="0" collapsed="false">
      <c r="A46" s="12" t="s">
        <v>40</v>
      </c>
      <c r="B46" s="13" t="n">
        <v>0.0031622776601683</v>
      </c>
      <c r="C46" s="13" t="n">
        <v>1</v>
      </c>
      <c r="D46" s="13"/>
      <c r="E46" s="12"/>
      <c r="F46" s="14"/>
      <c r="G46" s="14"/>
      <c r="H46" s="14"/>
      <c r="I46" s="14"/>
      <c r="J46" s="14"/>
      <c r="K46" s="14"/>
      <c r="L46" s="14"/>
      <c r="M46" s="15" t="str">
        <f aca="false">IF(COUNT(G46:L46)=6,AVERAGE(G46:L46),"")</f>
        <v/>
      </c>
      <c r="N46" s="16" t="s">
        <v>50</v>
      </c>
      <c r="O46" s="16" t="str">
        <f aca="false">IF(F46="","",COUNTIFS($A$2:$A$234,A46,$F$2:$F$234,"&gt;"&amp;F46)+1)</f>
        <v/>
      </c>
      <c r="P46" s="17" t="str">
        <f aca="false">A46&amp;"|"&amp;O46</f>
        <v>FedAdam|</v>
      </c>
    </row>
    <row r="47" customFormat="false" ht="15" hidden="false" customHeight="false" outlineLevel="0" collapsed="false">
      <c r="A47" s="12" t="s">
        <v>40</v>
      </c>
      <c r="B47" s="13" t="n">
        <v>0.0031622776601683</v>
      </c>
      <c r="C47" s="13" t="n">
        <v>10</v>
      </c>
      <c r="D47" s="13"/>
      <c r="E47" s="12"/>
      <c r="F47" s="14"/>
      <c r="G47" s="14"/>
      <c r="H47" s="14"/>
      <c r="I47" s="14"/>
      <c r="J47" s="14"/>
      <c r="K47" s="14"/>
      <c r="L47" s="14"/>
      <c r="M47" s="15" t="str">
        <f aca="false">IF(COUNT(G47:L47)=6,AVERAGE(G47:L47),"")</f>
        <v/>
      </c>
      <c r="N47" s="16" t="s">
        <v>50</v>
      </c>
      <c r="O47" s="16" t="str">
        <f aca="false">IF(F47="","",COUNTIFS($A$2:$A$234,A47,$F$2:$F$234,"&gt;"&amp;F47)+1)</f>
        <v/>
      </c>
      <c r="P47" s="17" t="str">
        <f aca="false">A47&amp;"|"&amp;O47</f>
        <v>FedAdam|</v>
      </c>
    </row>
    <row r="48" customFormat="false" ht="15" hidden="false" customHeight="false" outlineLevel="0" collapsed="false">
      <c r="A48" s="6" t="s">
        <v>40</v>
      </c>
      <c r="B48" s="7" t="n">
        <v>0.01</v>
      </c>
      <c r="C48" s="7" t="n">
        <v>0.001</v>
      </c>
      <c r="D48" s="7"/>
      <c r="E48" s="6"/>
      <c r="F48" s="8" t="n">
        <v>0.525368673499149</v>
      </c>
      <c r="G48" s="8" t="n">
        <v>0.562052390115703</v>
      </c>
      <c r="H48" s="8" t="n">
        <v>0.578023457027495</v>
      </c>
      <c r="I48" s="8" t="n">
        <v>0.518232362951328</v>
      </c>
      <c r="J48" s="8" t="n">
        <v>0.44766111111725</v>
      </c>
      <c r="K48" s="8" t="n">
        <v>0.383323026180169</v>
      </c>
      <c r="L48" s="8" t="n">
        <v>0.679241741741742</v>
      </c>
      <c r="M48" s="9" t="n">
        <f aca="false">IF(COUNT(G48:L48)=6,AVERAGE(G48:L48),"")</f>
        <v>0.528089014855614</v>
      </c>
      <c r="N48" s="10" t="s">
        <v>49</v>
      </c>
      <c r="O48" s="10" t="n">
        <f aca="false">IF(F48="","",COUNTIFS($A$2:$A$234,A48,$F$2:$F$234,"&gt;"&amp;F48)+1)</f>
        <v>3</v>
      </c>
      <c r="P48" s="11" t="str">
        <f aca="false">A48&amp;"|"&amp;O48</f>
        <v>FedAdam|3</v>
      </c>
    </row>
    <row r="49" customFormat="false" ht="15" hidden="false" customHeight="false" outlineLevel="0" collapsed="false">
      <c r="A49" s="6" t="s">
        <v>40</v>
      </c>
      <c r="B49" s="7" t="n">
        <v>0.01</v>
      </c>
      <c r="C49" s="7" t="n">
        <v>0.0031622776601683</v>
      </c>
      <c r="D49" s="7"/>
      <c r="E49" s="6"/>
      <c r="F49" s="8" t="n">
        <v>0.585947982037613</v>
      </c>
      <c r="G49" s="8" t="n">
        <v>0.610028842216452</v>
      </c>
      <c r="H49" s="8" t="n">
        <v>0.687906171890021</v>
      </c>
      <c r="I49" s="8" t="n">
        <v>0.683496227452</v>
      </c>
      <c r="J49" s="8" t="n">
        <v>0.513243961291268</v>
      </c>
      <c r="K49" s="8" t="n">
        <v>0.391671820243249</v>
      </c>
      <c r="L49" s="8" t="n">
        <v>0.608671171171171</v>
      </c>
      <c r="M49" s="9" t="n">
        <f aca="false">IF(COUNT(G49:L49)=6,AVERAGE(G49:L49),"")</f>
        <v>0.58250303237736</v>
      </c>
      <c r="N49" s="10" t="s">
        <v>49</v>
      </c>
      <c r="O49" s="10" t="n">
        <f aca="false">IF(F49="","",COUNTIFS($A$2:$A$234,A49,$F$2:$F$234,"&gt;"&amp;F49)+1)</f>
        <v>1</v>
      </c>
      <c r="P49" s="11" t="str">
        <f aca="false">A49&amp;"|"&amp;O49</f>
        <v>FedAdam|1</v>
      </c>
    </row>
    <row r="50" customFormat="false" ht="15" hidden="false" customHeight="false" outlineLevel="0" collapsed="false">
      <c r="A50" s="6" t="s">
        <v>40</v>
      </c>
      <c r="B50" s="7" t="n">
        <v>0.01</v>
      </c>
      <c r="C50" s="7" t="n">
        <v>0.01</v>
      </c>
      <c r="D50" s="7"/>
      <c r="E50" s="6"/>
      <c r="F50" s="8" t="n">
        <v>0.521806594128769</v>
      </c>
      <c r="G50" s="8" t="n">
        <v>0.568966871124531</v>
      </c>
      <c r="H50" s="8" t="n">
        <v>0.627446644875985</v>
      </c>
      <c r="I50" s="8" t="n">
        <v>0.640826605760646</v>
      </c>
      <c r="J50" s="8" t="n">
        <v>0.343215014090535</v>
      </c>
      <c r="K50" s="8" t="n">
        <v>0.391671820243249</v>
      </c>
      <c r="L50" s="8" t="n">
        <v>0.703641141141141</v>
      </c>
      <c r="M50" s="9" t="n">
        <f aca="false">IF(COUNT(G50:L50)=6,AVERAGE(G50:L50),"")</f>
        <v>0.545961349539348</v>
      </c>
      <c r="N50" s="10" t="s">
        <v>49</v>
      </c>
      <c r="O50" s="10" t="n">
        <f aca="false">IF(F50="","",COUNTIFS($A$2:$A$234,A50,$F$2:$F$234,"&gt;"&amp;F50)+1)</f>
        <v>4</v>
      </c>
      <c r="P50" s="11" t="str">
        <f aca="false">A50&amp;"|"&amp;O50</f>
        <v>FedAdam|4</v>
      </c>
    </row>
    <row r="51" customFormat="false" ht="15" hidden="false" customHeight="false" outlineLevel="0" collapsed="false">
      <c r="A51" s="6" t="s">
        <v>40</v>
      </c>
      <c r="B51" s="7" t="n">
        <v>0.01</v>
      </c>
      <c r="C51" s="7" t="n">
        <v>0.0316227766016837</v>
      </c>
      <c r="D51" s="7"/>
      <c r="E51" s="6"/>
      <c r="F51" s="8" t="n">
        <v>0.176930086743978</v>
      </c>
      <c r="G51" s="8" t="n">
        <v>0.19058804824241</v>
      </c>
      <c r="H51" s="8" t="n">
        <v>0.210484094939008</v>
      </c>
      <c r="I51" s="8" t="n">
        <v>0.219360652487978</v>
      </c>
      <c r="J51" s="8" t="n">
        <v>0.163636787218001</v>
      </c>
      <c r="K51" s="8" t="n">
        <v>0.283962069676355</v>
      </c>
      <c r="L51" s="8" t="n">
        <v>0.25</v>
      </c>
      <c r="M51" s="9" t="n">
        <f aca="false">IF(COUNT(G51:L51)=6,AVERAGE(G51:L51),"")</f>
        <v>0.219671942093959</v>
      </c>
      <c r="N51" s="10" t="s">
        <v>49</v>
      </c>
      <c r="O51" s="10" t="n">
        <f aca="false">IF(F51="","",COUNTIFS($A$2:$A$234,A51,$F$2:$F$234,"&gt;"&amp;F51)+1)</f>
        <v>15</v>
      </c>
      <c r="P51" s="11" t="str">
        <f aca="false">A51&amp;"|"&amp;O51</f>
        <v>FedAdam|15</v>
      </c>
    </row>
    <row r="52" customFormat="false" ht="15" hidden="false" customHeight="false" outlineLevel="0" collapsed="false">
      <c r="A52" s="6" t="s">
        <v>40</v>
      </c>
      <c r="B52" s="7" t="n">
        <v>0.01</v>
      </c>
      <c r="C52" s="7" t="n">
        <v>0.1</v>
      </c>
      <c r="D52" s="7"/>
      <c r="E52" s="6"/>
      <c r="F52" s="8" t="n">
        <v>0.125</v>
      </c>
      <c r="G52" s="8" t="n">
        <v>0.125</v>
      </c>
      <c r="H52" s="8" t="n">
        <v>0.2</v>
      </c>
      <c r="I52" s="8" t="n">
        <v>0.142857142857143</v>
      </c>
      <c r="J52" s="8" t="n">
        <v>0.142857142857143</v>
      </c>
      <c r="K52" s="8" t="n">
        <v>0.333333333333333</v>
      </c>
      <c r="L52" s="8" t="n">
        <v>0.25</v>
      </c>
      <c r="M52" s="9" t="n">
        <f aca="false">IF(COUNT(G52:L52)=6,AVERAGE(G52:L52),"")</f>
        <v>0.199007936507936</v>
      </c>
      <c r="N52" s="10" t="s">
        <v>49</v>
      </c>
      <c r="O52" s="10" t="n">
        <f aca="false">IF(F52="","",COUNTIFS($A$2:$A$234,A52,$F$2:$F$234,"&gt;"&amp;F52)+1)</f>
        <v>19</v>
      </c>
      <c r="P52" s="11" t="str">
        <f aca="false">A52&amp;"|"&amp;O52</f>
        <v>FedAdam|19</v>
      </c>
    </row>
    <row r="53" customFormat="false" ht="15" hidden="false" customHeight="false" outlineLevel="0" collapsed="false">
      <c r="A53" s="6" t="s">
        <v>40</v>
      </c>
      <c r="B53" s="7" t="n">
        <v>0.01</v>
      </c>
      <c r="C53" s="7" t="n">
        <v>0.316227766016838</v>
      </c>
      <c r="D53" s="7"/>
      <c r="E53" s="6"/>
      <c r="F53" s="8" t="n">
        <v>0.125</v>
      </c>
      <c r="G53" s="8" t="n">
        <v>0.125</v>
      </c>
      <c r="H53" s="8" t="n">
        <v>0.2</v>
      </c>
      <c r="I53" s="8" t="n">
        <v>0.142857142857143</v>
      </c>
      <c r="J53" s="8" t="n">
        <v>0</v>
      </c>
      <c r="K53" s="8" t="n">
        <v>0</v>
      </c>
      <c r="L53" s="8" t="n">
        <v>0.25</v>
      </c>
      <c r="M53" s="9" t="n">
        <f aca="false">IF(COUNT(G53:L53)=6,AVERAGE(G53:L53),"")</f>
        <v>0.119642857142857</v>
      </c>
      <c r="N53" s="10" t="s">
        <v>49</v>
      </c>
      <c r="O53" s="10" t="n">
        <f aca="false">IF(F53="","",COUNTIFS($A$2:$A$234,A53,$F$2:$F$234,"&gt;"&amp;F53)+1)</f>
        <v>19</v>
      </c>
      <c r="P53" s="11" t="str">
        <f aca="false">A53&amp;"|"&amp;O53</f>
        <v>FedAdam|19</v>
      </c>
    </row>
    <row r="54" customFormat="false" ht="15" hidden="false" customHeight="false" outlineLevel="0" collapsed="false">
      <c r="A54" s="12" t="s">
        <v>40</v>
      </c>
      <c r="B54" s="13" t="n">
        <v>0.01</v>
      </c>
      <c r="C54" s="13" t="n">
        <v>1</v>
      </c>
      <c r="D54" s="13"/>
      <c r="E54" s="12"/>
      <c r="F54" s="14"/>
      <c r="G54" s="14"/>
      <c r="H54" s="14"/>
      <c r="I54" s="14"/>
      <c r="J54" s="14"/>
      <c r="K54" s="14"/>
      <c r="L54" s="14"/>
      <c r="M54" s="15" t="str">
        <f aca="false">IF(COUNT(G54:L54)=6,AVERAGE(G54:L54),"")</f>
        <v/>
      </c>
      <c r="N54" s="16" t="s">
        <v>50</v>
      </c>
      <c r="O54" s="16" t="str">
        <f aca="false">IF(F54="","",COUNTIFS($A$2:$A$234,A54,$F$2:$F$234,"&gt;"&amp;F54)+1)</f>
        <v/>
      </c>
      <c r="P54" s="17" t="str">
        <f aca="false">A54&amp;"|"&amp;O54</f>
        <v>FedAdam|</v>
      </c>
    </row>
    <row r="55" customFormat="false" ht="15" hidden="false" customHeight="false" outlineLevel="0" collapsed="false">
      <c r="A55" s="12" t="s">
        <v>40</v>
      </c>
      <c r="B55" s="13" t="n">
        <v>0.01</v>
      </c>
      <c r="C55" s="13" t="n">
        <v>10</v>
      </c>
      <c r="D55" s="13"/>
      <c r="E55" s="12"/>
      <c r="F55" s="14"/>
      <c r="G55" s="14"/>
      <c r="H55" s="14"/>
      <c r="I55" s="14"/>
      <c r="J55" s="14"/>
      <c r="K55" s="14"/>
      <c r="L55" s="14"/>
      <c r="M55" s="15" t="str">
        <f aca="false">IF(COUNT(G55:L55)=6,AVERAGE(G55:L55),"")</f>
        <v/>
      </c>
      <c r="N55" s="16" t="s">
        <v>50</v>
      </c>
      <c r="O55" s="16" t="str">
        <f aca="false">IF(F55="","",COUNTIFS($A$2:$A$234,A55,$F$2:$F$234,"&gt;"&amp;F55)+1)</f>
        <v/>
      </c>
      <c r="P55" s="17" t="str">
        <f aca="false">A55&amp;"|"&amp;O55</f>
        <v>FedAdam|</v>
      </c>
    </row>
    <row r="56" customFormat="false" ht="15" hidden="false" customHeight="false" outlineLevel="0" collapsed="false">
      <c r="A56" s="6" t="s">
        <v>40</v>
      </c>
      <c r="B56" s="7" t="n">
        <v>0.0316227766016837</v>
      </c>
      <c r="C56" s="7" t="n">
        <v>0.001</v>
      </c>
      <c r="D56" s="7"/>
      <c r="E56" s="6"/>
      <c r="F56" s="8" t="n">
        <v>0.219186565829337</v>
      </c>
      <c r="G56" s="8" t="n">
        <v>0.215003905134375</v>
      </c>
      <c r="H56" s="8" t="n">
        <v>0.313186566685894</v>
      </c>
      <c r="I56" s="8" t="n">
        <v>0.430625864267622</v>
      </c>
      <c r="J56" s="8" t="n">
        <v>0.212428492973886</v>
      </c>
      <c r="K56" s="8" t="n">
        <v>0.337250051535766</v>
      </c>
      <c r="L56" s="8" t="n">
        <v>0.248310810810811</v>
      </c>
      <c r="M56" s="9" t="n">
        <f aca="false">IF(COUNT(G56:L56)=6,AVERAGE(G56:L56),"")</f>
        <v>0.292800948568059</v>
      </c>
      <c r="N56" s="10" t="s">
        <v>49</v>
      </c>
      <c r="O56" s="10" t="n">
        <f aca="false">IF(F56="","",COUNTIFS($A$2:$A$234,A56,$F$2:$F$234,"&gt;"&amp;F56)+1)</f>
        <v>14</v>
      </c>
      <c r="P56" s="11" t="str">
        <f aca="false">A56&amp;"|"&amp;O56</f>
        <v>FedAdam|14</v>
      </c>
    </row>
    <row r="57" customFormat="false" ht="15" hidden="false" customHeight="false" outlineLevel="0" collapsed="false">
      <c r="A57" s="6" t="s">
        <v>40</v>
      </c>
      <c r="B57" s="7" t="n">
        <v>0.0316227766016837</v>
      </c>
      <c r="C57" s="7" t="n">
        <v>0.0031622776601683</v>
      </c>
      <c r="D57" s="7"/>
      <c r="E57" s="6"/>
      <c r="F57" s="8" t="n">
        <v>0.440690527298231</v>
      </c>
      <c r="G57" s="8" t="n">
        <v>0.439304830111604</v>
      </c>
      <c r="H57" s="8" t="n">
        <v>0.683512786002692</v>
      </c>
      <c r="I57" s="8" t="n">
        <v>0.534206870335521</v>
      </c>
      <c r="J57" s="8" t="n">
        <v>0.342717139917855</v>
      </c>
      <c r="K57" s="8" t="n">
        <v>0.442589156874871</v>
      </c>
      <c r="L57" s="8" t="n">
        <v>0.697635135135135</v>
      </c>
      <c r="M57" s="9" t="n">
        <f aca="false">IF(COUNT(G57:L57)=6,AVERAGE(G57:L57),"")</f>
        <v>0.523327653062946</v>
      </c>
      <c r="N57" s="10" t="s">
        <v>49</v>
      </c>
      <c r="O57" s="10" t="n">
        <f aca="false">IF(F57="","",COUNTIFS($A$2:$A$234,A57,$F$2:$F$234,"&gt;"&amp;F57)+1)</f>
        <v>10</v>
      </c>
      <c r="P57" s="11" t="str">
        <f aca="false">A57&amp;"|"&amp;O57</f>
        <v>FedAdam|10</v>
      </c>
    </row>
    <row r="58" customFormat="false" ht="15" hidden="false" customHeight="false" outlineLevel="0" collapsed="false">
      <c r="A58" s="6" t="s">
        <v>40</v>
      </c>
      <c r="B58" s="7" t="n">
        <v>0.0316227766016837</v>
      </c>
      <c r="C58" s="7" t="n">
        <v>0.01</v>
      </c>
      <c r="D58" s="7"/>
      <c r="E58" s="6"/>
      <c r="F58" s="8" t="n">
        <v>0.366010917934384</v>
      </c>
      <c r="G58" s="8" t="n">
        <v>0.39997978298003</v>
      </c>
      <c r="H58" s="8" t="n">
        <v>0.392097673524322</v>
      </c>
      <c r="I58" s="8" t="n">
        <v>0.33847429173847</v>
      </c>
      <c r="J58" s="8" t="n">
        <v>0.363965910149863</v>
      </c>
      <c r="K58" s="8" t="n">
        <v>0.375798804370233</v>
      </c>
      <c r="L58" s="8" t="n">
        <v>0.613175675675676</v>
      </c>
      <c r="M58" s="9" t="n">
        <f aca="false">IF(COUNT(G58:L58)=6,AVERAGE(G58:L58),"")</f>
        <v>0.413915356406432</v>
      </c>
      <c r="N58" s="10" t="s">
        <v>49</v>
      </c>
      <c r="O58" s="10" t="n">
        <f aca="false">IF(F58="","",COUNTIFS($A$2:$A$234,A58,$F$2:$F$234,"&gt;"&amp;F58)+1)</f>
        <v>13</v>
      </c>
      <c r="P58" s="11" t="str">
        <f aca="false">A58&amp;"|"&amp;O58</f>
        <v>FedAdam|13</v>
      </c>
    </row>
    <row r="59" customFormat="false" ht="15" hidden="false" customHeight="false" outlineLevel="0" collapsed="false">
      <c r="A59" s="6" t="s">
        <v>40</v>
      </c>
      <c r="B59" s="7" t="n">
        <v>0.0316227766016837</v>
      </c>
      <c r="C59" s="7" t="n">
        <v>0.0316227766016837</v>
      </c>
      <c r="D59" s="7"/>
      <c r="E59" s="6"/>
      <c r="F59" s="8" t="n">
        <v>0.125</v>
      </c>
      <c r="G59" s="8" t="n">
        <v>0.125</v>
      </c>
      <c r="H59" s="8" t="n">
        <v>0.2</v>
      </c>
      <c r="I59" s="8" t="n">
        <v>0.142857142857143</v>
      </c>
      <c r="J59" s="8" t="n">
        <v>0</v>
      </c>
      <c r="K59" s="8" t="n">
        <v>0</v>
      </c>
      <c r="L59" s="8" t="n">
        <v>0.25</v>
      </c>
      <c r="M59" s="9" t="n">
        <f aca="false">IF(COUNT(G59:L59)=6,AVERAGE(G59:L59),"")</f>
        <v>0.119642857142857</v>
      </c>
      <c r="N59" s="10" t="s">
        <v>49</v>
      </c>
      <c r="O59" s="10" t="n">
        <f aca="false">IF(F59="","",COUNTIFS($A$2:$A$234,A59,$F$2:$F$234,"&gt;"&amp;F59)+1)</f>
        <v>19</v>
      </c>
      <c r="P59" s="11" t="str">
        <f aca="false">A59&amp;"|"&amp;O59</f>
        <v>FedAdam|19</v>
      </c>
    </row>
    <row r="60" customFormat="false" ht="15" hidden="false" customHeight="false" outlineLevel="0" collapsed="false">
      <c r="A60" s="6" t="s">
        <v>40</v>
      </c>
      <c r="B60" s="7" t="n">
        <v>0.0316227766016837</v>
      </c>
      <c r="C60" s="7" t="n">
        <v>0.1</v>
      </c>
      <c r="D60" s="7"/>
      <c r="E60" s="6"/>
      <c r="F60" s="8" t="n">
        <v>0.124967672171456</v>
      </c>
      <c r="G60" s="8" t="n">
        <v>0.124406880189798</v>
      </c>
      <c r="H60" s="8" t="n">
        <v>0.212939819265526</v>
      </c>
      <c r="I60" s="8" t="n">
        <v>0.142857142857143</v>
      </c>
      <c r="J60" s="8" t="n">
        <v>0.142857142857143</v>
      </c>
      <c r="K60" s="8" t="n">
        <v>0.333333333333333</v>
      </c>
      <c r="L60" s="8" t="n">
        <v>0.246621621621622</v>
      </c>
      <c r="M60" s="9" t="n">
        <f aca="false">IF(COUNT(G60:L60)=6,AVERAGE(G60:L60),"")</f>
        <v>0.200502656687427</v>
      </c>
      <c r="N60" s="10" t="s">
        <v>49</v>
      </c>
      <c r="O60" s="10" t="n">
        <f aca="false">IF(F60="","",COUNTIFS($A$2:$A$234,A60,$F$2:$F$234,"&gt;"&amp;F60)+1)</f>
        <v>35</v>
      </c>
      <c r="P60" s="11" t="str">
        <f aca="false">A60&amp;"|"&amp;O60</f>
        <v>FedAdam|35</v>
      </c>
    </row>
    <row r="61" customFormat="false" ht="15" hidden="false" customHeight="false" outlineLevel="0" collapsed="false">
      <c r="A61" s="6" t="s">
        <v>40</v>
      </c>
      <c r="B61" s="7" t="n">
        <v>0.0316227766016837</v>
      </c>
      <c r="C61" s="7" t="n">
        <v>0.316227766016838</v>
      </c>
      <c r="D61" s="7"/>
      <c r="E61" s="6"/>
      <c r="F61" s="8" t="n">
        <v>0.125</v>
      </c>
      <c r="G61" s="8" t="n">
        <v>0.125</v>
      </c>
      <c r="H61" s="8" t="n">
        <v>0.2</v>
      </c>
      <c r="I61" s="8" t="n">
        <v>0.142857142857143</v>
      </c>
      <c r="J61" s="8" t="n">
        <v>0.142857142857143</v>
      </c>
      <c r="K61" s="8" t="n">
        <v>0.333333333333333</v>
      </c>
      <c r="L61" s="8" t="n">
        <v>0.25</v>
      </c>
      <c r="M61" s="9" t="n">
        <f aca="false">IF(COUNT(G61:L61)=6,AVERAGE(G61:L61),"")</f>
        <v>0.199007936507936</v>
      </c>
      <c r="N61" s="10" t="s">
        <v>49</v>
      </c>
      <c r="O61" s="10" t="n">
        <f aca="false">IF(F61="","",COUNTIFS($A$2:$A$234,A61,$F$2:$F$234,"&gt;"&amp;F61)+1)</f>
        <v>19</v>
      </c>
      <c r="P61" s="11" t="str">
        <f aca="false">A61&amp;"|"&amp;O61</f>
        <v>FedAdam|19</v>
      </c>
    </row>
    <row r="62" customFormat="false" ht="15" hidden="false" customHeight="false" outlineLevel="0" collapsed="false">
      <c r="A62" s="12" t="s">
        <v>40</v>
      </c>
      <c r="B62" s="13" t="n">
        <v>0.0316227766016837</v>
      </c>
      <c r="C62" s="13" t="n">
        <v>1</v>
      </c>
      <c r="D62" s="13"/>
      <c r="E62" s="12"/>
      <c r="F62" s="14"/>
      <c r="G62" s="14"/>
      <c r="H62" s="14"/>
      <c r="I62" s="14"/>
      <c r="J62" s="14"/>
      <c r="K62" s="14"/>
      <c r="L62" s="14"/>
      <c r="M62" s="15" t="str">
        <f aca="false">IF(COUNT(G62:L62)=6,AVERAGE(G62:L62),"")</f>
        <v/>
      </c>
      <c r="N62" s="16" t="s">
        <v>50</v>
      </c>
      <c r="O62" s="16" t="str">
        <f aca="false">IF(F62="","",COUNTIFS($A$2:$A$234,A62,$F$2:$F$234,"&gt;"&amp;F62)+1)</f>
        <v/>
      </c>
      <c r="P62" s="17" t="str">
        <f aca="false">A62&amp;"|"&amp;O62</f>
        <v>FedAdam|</v>
      </c>
    </row>
    <row r="63" customFormat="false" ht="15" hidden="false" customHeight="false" outlineLevel="0" collapsed="false">
      <c r="A63" s="12" t="s">
        <v>40</v>
      </c>
      <c r="B63" s="13" t="n">
        <v>0.0316227766016837</v>
      </c>
      <c r="C63" s="13" t="n">
        <v>10</v>
      </c>
      <c r="D63" s="13"/>
      <c r="E63" s="12"/>
      <c r="F63" s="14"/>
      <c r="G63" s="14"/>
      <c r="H63" s="14"/>
      <c r="I63" s="14"/>
      <c r="J63" s="14"/>
      <c r="K63" s="14"/>
      <c r="L63" s="14"/>
      <c r="M63" s="15" t="str">
        <f aca="false">IF(COUNT(G63:L63)=6,AVERAGE(G63:L63),"")</f>
        <v/>
      </c>
      <c r="N63" s="16" t="s">
        <v>50</v>
      </c>
      <c r="O63" s="16" t="str">
        <f aca="false">IF(F63="","",COUNTIFS($A$2:$A$234,A63,$F$2:$F$234,"&gt;"&amp;F63)+1)</f>
        <v/>
      </c>
      <c r="P63" s="17" t="str">
        <f aca="false">A63&amp;"|"&amp;O63</f>
        <v>FedAdam|</v>
      </c>
    </row>
    <row r="64" customFormat="false" ht="15" hidden="false" customHeight="false" outlineLevel="0" collapsed="false">
      <c r="A64" s="6" t="s">
        <v>40</v>
      </c>
      <c r="B64" s="7" t="n">
        <v>0.1</v>
      </c>
      <c r="C64" s="7" t="n">
        <v>0.001</v>
      </c>
      <c r="D64" s="7"/>
      <c r="E64" s="6"/>
      <c r="F64" s="8" t="n">
        <v>0.125</v>
      </c>
      <c r="G64" s="8" t="n">
        <v>0.125</v>
      </c>
      <c r="H64" s="8" t="n">
        <v>0.2</v>
      </c>
      <c r="I64" s="8" t="n">
        <v>0.142857142857143</v>
      </c>
      <c r="J64" s="8" t="n">
        <v>0.142857142857143</v>
      </c>
      <c r="K64" s="8" t="n">
        <v>0.333333333333333</v>
      </c>
      <c r="L64" s="8" t="n">
        <v>0.25</v>
      </c>
      <c r="M64" s="9" t="n">
        <f aca="false">IF(COUNT(G64:L64)=6,AVERAGE(G64:L64),"")</f>
        <v>0.199007936507936</v>
      </c>
      <c r="N64" s="10" t="s">
        <v>49</v>
      </c>
      <c r="O64" s="10" t="n">
        <f aca="false">IF(F64="","",COUNTIFS($A$2:$A$234,A64,$F$2:$F$234,"&gt;"&amp;F64)+1)</f>
        <v>19</v>
      </c>
      <c r="P64" s="11" t="str">
        <f aca="false">A64&amp;"|"&amp;O64</f>
        <v>FedAdam|19</v>
      </c>
    </row>
    <row r="65" customFormat="false" ht="15" hidden="false" customHeight="false" outlineLevel="0" collapsed="false">
      <c r="A65" s="6" t="s">
        <v>40</v>
      </c>
      <c r="B65" s="7" t="n">
        <v>0.1</v>
      </c>
      <c r="C65" s="7" t="n">
        <v>0.0031622776601683</v>
      </c>
      <c r="D65" s="7"/>
      <c r="E65" s="6"/>
      <c r="F65" s="8" t="n">
        <v>0.125</v>
      </c>
      <c r="G65" s="8" t="n">
        <v>0.125</v>
      </c>
      <c r="H65" s="8" t="n">
        <v>0.2</v>
      </c>
      <c r="I65" s="8" t="n">
        <v>0.142857142857143</v>
      </c>
      <c r="J65" s="8" t="n">
        <v>0</v>
      </c>
      <c r="K65" s="8" t="n">
        <v>0</v>
      </c>
      <c r="L65" s="8" t="n">
        <v>0.25</v>
      </c>
      <c r="M65" s="9" t="n">
        <f aca="false">IF(COUNT(G65:L65)=6,AVERAGE(G65:L65),"")</f>
        <v>0.119642857142857</v>
      </c>
      <c r="N65" s="10" t="s">
        <v>49</v>
      </c>
      <c r="O65" s="10" t="n">
        <f aca="false">IF(F65="","",COUNTIFS($A$2:$A$234,A65,$F$2:$F$234,"&gt;"&amp;F65)+1)</f>
        <v>19</v>
      </c>
      <c r="P65" s="11" t="str">
        <f aca="false">A65&amp;"|"&amp;O65</f>
        <v>FedAdam|19</v>
      </c>
    </row>
    <row r="66" customFormat="false" ht="15" hidden="false" customHeight="false" outlineLevel="0" collapsed="false">
      <c r="A66" s="6" t="s">
        <v>40</v>
      </c>
      <c r="B66" s="7" t="n">
        <v>0.1</v>
      </c>
      <c r="C66" s="7" t="n">
        <v>0.01</v>
      </c>
      <c r="D66" s="7"/>
      <c r="E66" s="6"/>
      <c r="F66" s="8" t="n">
        <v>0.136632189832562</v>
      </c>
      <c r="G66" s="8" t="n">
        <v>0.140541098885303</v>
      </c>
      <c r="H66" s="8" t="n">
        <v>0.0174966352624495</v>
      </c>
      <c r="I66" s="8" t="n">
        <v>0.0525969877080487</v>
      </c>
      <c r="J66" s="8" t="n">
        <v>0.13265306122449</v>
      </c>
      <c r="K66" s="8" t="n">
        <v>0.005050505050505</v>
      </c>
      <c r="L66" s="8" t="n">
        <v>0.0371621621621621</v>
      </c>
      <c r="M66" s="9" t="n">
        <f aca="false">IF(COUNT(G66:L66)=6,AVERAGE(G66:L66),"")</f>
        <v>0.0642500750488264</v>
      </c>
      <c r="N66" s="10" t="s">
        <v>49</v>
      </c>
      <c r="O66" s="10" t="n">
        <f aca="false">IF(F66="","",COUNTIFS($A$2:$A$234,A66,$F$2:$F$234,"&gt;"&amp;F66)+1)</f>
        <v>16</v>
      </c>
      <c r="P66" s="11" t="str">
        <f aca="false">A66&amp;"|"&amp;O66</f>
        <v>FedAdam|16</v>
      </c>
    </row>
    <row r="67" customFormat="false" ht="15" hidden="false" customHeight="false" outlineLevel="0" collapsed="false">
      <c r="A67" s="6" t="s">
        <v>40</v>
      </c>
      <c r="B67" s="7" t="n">
        <v>0.1</v>
      </c>
      <c r="C67" s="7" t="n">
        <v>0.0316227766016837</v>
      </c>
      <c r="D67" s="7"/>
      <c r="E67" s="6"/>
      <c r="F67" s="8" t="n">
        <v>0.129923234737127</v>
      </c>
      <c r="G67" s="8" t="n">
        <v>0.130604815455594</v>
      </c>
      <c r="H67" s="8" t="n">
        <v>0.2</v>
      </c>
      <c r="I67" s="8" t="n">
        <v>0.142857142857143</v>
      </c>
      <c r="J67" s="8" t="n">
        <v>0</v>
      </c>
      <c r="K67" s="8" t="n">
        <v>0</v>
      </c>
      <c r="L67" s="8" t="n">
        <v>0.25</v>
      </c>
      <c r="M67" s="9" t="n">
        <f aca="false">IF(COUNT(G67:L67)=6,AVERAGE(G67:L67),"")</f>
        <v>0.120576993052123</v>
      </c>
      <c r="N67" s="10" t="s">
        <v>49</v>
      </c>
      <c r="O67" s="10" t="n">
        <f aca="false">IF(F67="","",COUNTIFS($A$2:$A$234,A67,$F$2:$F$234,"&gt;"&amp;F67)+1)</f>
        <v>18</v>
      </c>
      <c r="P67" s="11" t="str">
        <f aca="false">A67&amp;"|"&amp;O67</f>
        <v>FedAdam|18</v>
      </c>
    </row>
    <row r="68" customFormat="false" ht="15" hidden="false" customHeight="false" outlineLevel="0" collapsed="false">
      <c r="A68" s="6" t="s">
        <v>40</v>
      </c>
      <c r="B68" s="7" t="n">
        <v>0.1</v>
      </c>
      <c r="C68" s="7" t="n">
        <v>0.1</v>
      </c>
      <c r="D68" s="7"/>
      <c r="E68" s="6"/>
      <c r="F68" s="8" t="n">
        <v>0.125</v>
      </c>
      <c r="G68" s="8" t="n">
        <v>0.125</v>
      </c>
      <c r="H68" s="8" t="n">
        <v>0</v>
      </c>
      <c r="I68" s="8" t="n">
        <v>0.142857142857143</v>
      </c>
      <c r="J68" s="8" t="n">
        <v>0.142857142857143</v>
      </c>
      <c r="K68" s="8" t="n">
        <v>0</v>
      </c>
      <c r="L68" s="8" t="n">
        <v>0</v>
      </c>
      <c r="M68" s="9" t="n">
        <f aca="false">IF(COUNT(G68:L68)=6,AVERAGE(G68:L68),"")</f>
        <v>0.0684523809523809</v>
      </c>
      <c r="N68" s="10" t="s">
        <v>49</v>
      </c>
      <c r="O68" s="10" t="n">
        <f aca="false">IF(F68="","",COUNTIFS($A$2:$A$234,A68,$F$2:$F$234,"&gt;"&amp;F68)+1)</f>
        <v>19</v>
      </c>
      <c r="P68" s="11" t="str">
        <f aca="false">A68&amp;"|"&amp;O68</f>
        <v>FedAdam|19</v>
      </c>
    </row>
    <row r="69" customFormat="false" ht="15" hidden="false" customHeight="false" outlineLevel="0" collapsed="false">
      <c r="A69" s="12" t="s">
        <v>40</v>
      </c>
      <c r="B69" s="13" t="n">
        <v>0.1</v>
      </c>
      <c r="C69" s="13" t="n">
        <v>0.316227766016838</v>
      </c>
      <c r="D69" s="13"/>
      <c r="E69" s="12"/>
      <c r="F69" s="14"/>
      <c r="G69" s="14"/>
      <c r="H69" s="14"/>
      <c r="I69" s="14"/>
      <c r="J69" s="14"/>
      <c r="K69" s="14"/>
      <c r="L69" s="14"/>
      <c r="M69" s="15" t="str">
        <f aca="false">IF(COUNT(G69:L69)=6,AVERAGE(G69:L69),"")</f>
        <v/>
      </c>
      <c r="N69" s="16" t="s">
        <v>50</v>
      </c>
      <c r="O69" s="16" t="str">
        <f aca="false">IF(F69="","",COUNTIFS($A$2:$A$234,A69,$F$2:$F$234,"&gt;"&amp;F69)+1)</f>
        <v/>
      </c>
      <c r="P69" s="17" t="str">
        <f aca="false">A69&amp;"|"&amp;O69</f>
        <v>FedAdam|</v>
      </c>
    </row>
    <row r="70" customFormat="false" ht="15" hidden="false" customHeight="false" outlineLevel="0" collapsed="false">
      <c r="A70" s="12" t="s">
        <v>40</v>
      </c>
      <c r="B70" s="13" t="n">
        <v>0.1</v>
      </c>
      <c r="C70" s="13" t="n">
        <v>1</v>
      </c>
      <c r="D70" s="13"/>
      <c r="E70" s="12"/>
      <c r="F70" s="14"/>
      <c r="G70" s="14"/>
      <c r="H70" s="14"/>
      <c r="I70" s="14"/>
      <c r="J70" s="14"/>
      <c r="K70" s="14"/>
      <c r="L70" s="14"/>
      <c r="M70" s="15" t="str">
        <f aca="false">IF(COUNT(G70:L70)=6,AVERAGE(G70:L70),"")</f>
        <v/>
      </c>
      <c r="N70" s="16" t="s">
        <v>50</v>
      </c>
      <c r="O70" s="16" t="str">
        <f aca="false">IF(F70="","",COUNTIFS($A$2:$A$234,A70,$F$2:$F$234,"&gt;"&amp;F70)+1)</f>
        <v/>
      </c>
      <c r="P70" s="17" t="str">
        <f aca="false">A70&amp;"|"&amp;O70</f>
        <v>FedAdam|</v>
      </c>
    </row>
    <row r="71" customFormat="false" ht="15" hidden="false" customHeight="false" outlineLevel="0" collapsed="false">
      <c r="A71" s="12" t="s">
        <v>40</v>
      </c>
      <c r="B71" s="13" t="n">
        <v>0.1</v>
      </c>
      <c r="C71" s="13" t="n">
        <v>10</v>
      </c>
      <c r="D71" s="13"/>
      <c r="E71" s="12"/>
      <c r="F71" s="14"/>
      <c r="G71" s="14"/>
      <c r="H71" s="14"/>
      <c r="I71" s="14"/>
      <c r="J71" s="14"/>
      <c r="K71" s="14"/>
      <c r="L71" s="14"/>
      <c r="M71" s="15" t="str">
        <f aca="false">IF(COUNT(G71:L71)=6,AVERAGE(G71:L71),"")</f>
        <v/>
      </c>
      <c r="N71" s="16" t="s">
        <v>50</v>
      </c>
      <c r="O71" s="16" t="str">
        <f aca="false">IF(F71="","",COUNTIFS($A$2:$A$234,A71,$F$2:$F$234,"&gt;"&amp;F71)+1)</f>
        <v/>
      </c>
      <c r="P71" s="17" t="str">
        <f aca="false">A71&amp;"|"&amp;O71</f>
        <v>FedAdam|</v>
      </c>
    </row>
    <row r="72" customFormat="false" ht="15" hidden="false" customHeight="false" outlineLevel="0" collapsed="false">
      <c r="A72" s="6" t="s">
        <v>40</v>
      </c>
      <c r="B72" s="7" t="n">
        <v>0.316227766016838</v>
      </c>
      <c r="C72" s="7" t="n">
        <v>0.001</v>
      </c>
      <c r="D72" s="7"/>
      <c r="E72" s="6"/>
      <c r="F72" s="8" t="n">
        <v>0.125</v>
      </c>
      <c r="G72" s="8" t="n">
        <v>0.125</v>
      </c>
      <c r="H72" s="8" t="n">
        <v>0.2</v>
      </c>
      <c r="I72" s="8" t="n">
        <v>0.142857142857143</v>
      </c>
      <c r="J72" s="8" t="n">
        <v>0.142857142857143</v>
      </c>
      <c r="K72" s="8" t="n">
        <v>0.333333333333333</v>
      </c>
      <c r="L72" s="8" t="n">
        <v>0.25</v>
      </c>
      <c r="M72" s="9" t="n">
        <f aca="false">IF(COUNT(G72:L72)=6,AVERAGE(G72:L72),"")</f>
        <v>0.199007936507936</v>
      </c>
      <c r="N72" s="10" t="s">
        <v>49</v>
      </c>
      <c r="O72" s="10" t="n">
        <f aca="false">IF(F72="","",COUNTIFS($A$2:$A$234,A72,$F$2:$F$234,"&gt;"&amp;F72)+1)</f>
        <v>19</v>
      </c>
      <c r="P72" s="11" t="str">
        <f aca="false">A72&amp;"|"&amp;O72</f>
        <v>FedAdam|19</v>
      </c>
    </row>
    <row r="73" customFormat="false" ht="15" hidden="false" customHeight="false" outlineLevel="0" collapsed="false">
      <c r="A73" s="6" t="s">
        <v>40</v>
      </c>
      <c r="B73" s="7" t="n">
        <v>0.316227766016838</v>
      </c>
      <c r="C73" s="7" t="n">
        <v>0.0031622776601683</v>
      </c>
      <c r="D73" s="7"/>
      <c r="E73" s="6"/>
      <c r="F73" s="8" t="n">
        <v>0.125</v>
      </c>
      <c r="G73" s="8" t="n">
        <v>0.125</v>
      </c>
      <c r="H73" s="8" t="n">
        <v>0.2</v>
      </c>
      <c r="I73" s="8" t="n">
        <v>0.142857142857143</v>
      </c>
      <c r="J73" s="8" t="n">
        <v>0.142857142857143</v>
      </c>
      <c r="K73" s="8" t="n">
        <v>0.333333333333333</v>
      </c>
      <c r="L73" s="8" t="n">
        <v>0.25</v>
      </c>
      <c r="M73" s="9" t="n">
        <f aca="false">IF(COUNT(G73:L73)=6,AVERAGE(G73:L73),"")</f>
        <v>0.199007936507936</v>
      </c>
      <c r="N73" s="10" t="s">
        <v>49</v>
      </c>
      <c r="O73" s="10" t="n">
        <f aca="false">IF(F73="","",COUNTIFS($A$2:$A$234,A73,$F$2:$F$234,"&gt;"&amp;F73)+1)</f>
        <v>19</v>
      </c>
      <c r="P73" s="11" t="str">
        <f aca="false">A73&amp;"|"&amp;O73</f>
        <v>FedAdam|19</v>
      </c>
    </row>
    <row r="74" customFormat="false" ht="15" hidden="false" customHeight="false" outlineLevel="0" collapsed="false">
      <c r="A74" s="6" t="s">
        <v>40</v>
      </c>
      <c r="B74" s="7" t="n">
        <v>0.316227766016838</v>
      </c>
      <c r="C74" s="7" t="n">
        <v>0.01</v>
      </c>
      <c r="D74" s="7"/>
      <c r="E74" s="6"/>
      <c r="F74" s="8" t="n">
        <v>0.125</v>
      </c>
      <c r="G74" s="8" t="n">
        <v>0.125</v>
      </c>
      <c r="H74" s="8" t="n">
        <v>0.2</v>
      </c>
      <c r="I74" s="8" t="n">
        <v>0.142857142857143</v>
      </c>
      <c r="J74" s="8" t="n">
        <v>0.142857142857143</v>
      </c>
      <c r="K74" s="8" t="n">
        <v>0.333333333333333</v>
      </c>
      <c r="L74" s="8" t="n">
        <v>0.25</v>
      </c>
      <c r="M74" s="9" t="n">
        <f aca="false">IF(COUNT(G74:L74)=6,AVERAGE(G74:L74),"")</f>
        <v>0.199007936507936</v>
      </c>
      <c r="N74" s="10" t="s">
        <v>49</v>
      </c>
      <c r="O74" s="10" t="n">
        <f aca="false">IF(F74="","",COUNTIFS($A$2:$A$234,A74,$F$2:$F$234,"&gt;"&amp;F74)+1)</f>
        <v>19</v>
      </c>
      <c r="P74" s="11" t="str">
        <f aca="false">A74&amp;"|"&amp;O74</f>
        <v>FedAdam|19</v>
      </c>
    </row>
    <row r="75" customFormat="false" ht="15" hidden="false" customHeight="false" outlineLevel="0" collapsed="false">
      <c r="A75" s="6" t="s">
        <v>40</v>
      </c>
      <c r="B75" s="7" t="n">
        <v>0.316227766016838</v>
      </c>
      <c r="C75" s="7" t="n">
        <v>0.0316227766016837</v>
      </c>
      <c r="D75" s="7"/>
      <c r="E75" s="6"/>
      <c r="F75" s="8" t="n">
        <v>0.125</v>
      </c>
      <c r="G75" s="8" t="n">
        <v>0.125</v>
      </c>
      <c r="H75" s="8" t="n">
        <v>0.2</v>
      </c>
      <c r="I75" s="8" t="n">
        <v>0.142857142857143</v>
      </c>
      <c r="J75" s="8" t="n">
        <v>0.142857142857143</v>
      </c>
      <c r="K75" s="8" t="n">
        <v>0.333333333333333</v>
      </c>
      <c r="L75" s="8" t="n">
        <v>0.25</v>
      </c>
      <c r="M75" s="9" t="n">
        <f aca="false">IF(COUNT(G75:L75)=6,AVERAGE(G75:L75),"")</f>
        <v>0.199007936507936</v>
      </c>
      <c r="N75" s="10" t="s">
        <v>49</v>
      </c>
      <c r="O75" s="10" t="n">
        <f aca="false">IF(F75="","",COUNTIFS($A$2:$A$234,A75,$F$2:$F$234,"&gt;"&amp;F75)+1)</f>
        <v>19</v>
      </c>
      <c r="P75" s="11" t="str">
        <f aca="false">A75&amp;"|"&amp;O75</f>
        <v>FedAdam|19</v>
      </c>
    </row>
    <row r="76" customFormat="false" ht="15" hidden="false" customHeight="false" outlineLevel="0" collapsed="false">
      <c r="A76" s="6" t="s">
        <v>40</v>
      </c>
      <c r="B76" s="7" t="n">
        <v>0.316227766016838</v>
      </c>
      <c r="C76" s="7" t="n">
        <v>0.1</v>
      </c>
      <c r="D76" s="7"/>
      <c r="E76" s="6"/>
      <c r="F76" s="8" t="n">
        <v>0.125</v>
      </c>
      <c r="G76" s="8" t="n">
        <v>0.125</v>
      </c>
      <c r="H76" s="8" t="n">
        <v>0.2</v>
      </c>
      <c r="I76" s="8" t="n">
        <v>0.142857142857143</v>
      </c>
      <c r="J76" s="8" t="n">
        <v>0.142857142857143</v>
      </c>
      <c r="K76" s="8" t="n">
        <v>0.333333333333333</v>
      </c>
      <c r="L76" s="8" t="n">
        <v>0.25</v>
      </c>
      <c r="M76" s="9" t="n">
        <f aca="false">IF(COUNT(G76:L76)=6,AVERAGE(G76:L76),"")</f>
        <v>0.199007936507936</v>
      </c>
      <c r="N76" s="10" t="s">
        <v>49</v>
      </c>
      <c r="O76" s="10" t="n">
        <f aca="false">IF(F76="","",COUNTIFS($A$2:$A$234,A76,$F$2:$F$234,"&gt;"&amp;F76)+1)</f>
        <v>19</v>
      </c>
      <c r="P76" s="11" t="str">
        <f aca="false">A76&amp;"|"&amp;O76</f>
        <v>FedAdam|19</v>
      </c>
    </row>
    <row r="77" customFormat="false" ht="15" hidden="false" customHeight="false" outlineLevel="0" collapsed="false">
      <c r="A77" s="6" t="s">
        <v>40</v>
      </c>
      <c r="B77" s="7" t="n">
        <v>0.316227766016838</v>
      </c>
      <c r="C77" s="7" t="n">
        <v>0.316227766016838</v>
      </c>
      <c r="D77" s="7"/>
      <c r="E77" s="6"/>
      <c r="F77" s="8" t="n">
        <v>0.125</v>
      </c>
      <c r="G77" s="8" t="n">
        <v>0.125</v>
      </c>
      <c r="H77" s="8" t="n">
        <v>0.2</v>
      </c>
      <c r="I77" s="8" t="n">
        <v>0.142857142857143</v>
      </c>
      <c r="J77" s="8" t="n">
        <v>0.142857142857143</v>
      </c>
      <c r="K77" s="8" t="n">
        <v>0.333333333333333</v>
      </c>
      <c r="L77" s="8" t="n">
        <v>0.25</v>
      </c>
      <c r="M77" s="9" t="n">
        <f aca="false">IF(COUNT(G77:L77)=6,AVERAGE(G77:L77),"")</f>
        <v>0.199007936507936</v>
      </c>
      <c r="N77" s="10" t="s">
        <v>49</v>
      </c>
      <c r="O77" s="10" t="n">
        <f aca="false">IF(F77="","",COUNTIFS($A$2:$A$234,A77,$F$2:$F$234,"&gt;"&amp;F77)+1)</f>
        <v>19</v>
      </c>
      <c r="P77" s="11" t="str">
        <f aca="false">A77&amp;"|"&amp;O77</f>
        <v>FedAdam|19</v>
      </c>
    </row>
    <row r="78" customFormat="false" ht="15" hidden="false" customHeight="false" outlineLevel="0" collapsed="false">
      <c r="A78" s="12" t="s">
        <v>40</v>
      </c>
      <c r="B78" s="13" t="n">
        <v>0.316227766016838</v>
      </c>
      <c r="C78" s="13" t="n">
        <v>1</v>
      </c>
      <c r="D78" s="13"/>
      <c r="E78" s="12"/>
      <c r="F78" s="14"/>
      <c r="G78" s="14"/>
      <c r="H78" s="14"/>
      <c r="I78" s="14"/>
      <c r="J78" s="14"/>
      <c r="K78" s="14"/>
      <c r="L78" s="14"/>
      <c r="M78" s="15" t="str">
        <f aca="false">IF(COUNT(G78:L78)=6,AVERAGE(G78:L78),"")</f>
        <v/>
      </c>
      <c r="N78" s="16" t="s">
        <v>50</v>
      </c>
      <c r="O78" s="16" t="str">
        <f aca="false">IF(F78="","",COUNTIFS($A$2:$A$234,A78,$F$2:$F$234,"&gt;"&amp;F78)+1)</f>
        <v/>
      </c>
      <c r="P78" s="17" t="str">
        <f aca="false">A78&amp;"|"&amp;O78</f>
        <v>FedAdam|</v>
      </c>
    </row>
    <row r="79" customFormat="false" ht="15" hidden="false" customHeight="false" outlineLevel="0" collapsed="false">
      <c r="A79" s="12" t="s">
        <v>40</v>
      </c>
      <c r="B79" s="13" t="n">
        <v>0.316227766016838</v>
      </c>
      <c r="C79" s="13" t="n">
        <v>10</v>
      </c>
      <c r="D79" s="13"/>
      <c r="E79" s="12"/>
      <c r="F79" s="14"/>
      <c r="G79" s="14"/>
      <c r="H79" s="14"/>
      <c r="I79" s="14"/>
      <c r="J79" s="14"/>
      <c r="K79" s="14"/>
      <c r="L79" s="14"/>
      <c r="M79" s="15" t="str">
        <f aca="false">IF(COUNT(G79:L79)=6,AVERAGE(G79:L79),"")</f>
        <v/>
      </c>
      <c r="N79" s="16" t="s">
        <v>50</v>
      </c>
      <c r="O79" s="16" t="str">
        <f aca="false">IF(F79="","",COUNTIFS($A$2:$A$234,A79,$F$2:$F$234,"&gt;"&amp;F79)+1)</f>
        <v/>
      </c>
      <c r="P79" s="17" t="str">
        <f aca="false">A79&amp;"|"&amp;O79</f>
        <v>FedAdam|</v>
      </c>
    </row>
    <row r="80" customFormat="false" ht="15" hidden="false" customHeight="false" outlineLevel="0" collapsed="false">
      <c r="A80" s="6" t="s">
        <v>41</v>
      </c>
      <c r="B80" s="7" t="n">
        <v>0.001</v>
      </c>
      <c r="C80" s="7" t="n">
        <v>0.001</v>
      </c>
      <c r="D80" s="7"/>
      <c r="E80" s="6"/>
      <c r="F80" s="8" t="n">
        <v>0.419586864089202</v>
      </c>
      <c r="G80" s="8" t="n">
        <v>0.398577303310344</v>
      </c>
      <c r="H80" s="8" t="n">
        <v>0.60763314747164</v>
      </c>
      <c r="I80" s="8" t="n">
        <v>0.454605994421644</v>
      </c>
      <c r="J80" s="8" t="n">
        <v>0.410633943327724</v>
      </c>
      <c r="K80" s="8" t="n">
        <v>0.37847866419295</v>
      </c>
      <c r="L80" s="8" t="n">
        <v>0.734046546546547</v>
      </c>
      <c r="M80" s="9" t="n">
        <f aca="false">IF(COUNT(G80:L80)=6,AVERAGE(G80:L80),"")</f>
        <v>0.497329266545141</v>
      </c>
      <c r="N80" s="10" t="s">
        <v>49</v>
      </c>
      <c r="O80" s="10" t="n">
        <f aca="false">IF(F80="","",COUNTIFS($A$2:$A$234,A80,$F$2:$F$234,"&gt;"&amp;F80)+1)</f>
        <v>11</v>
      </c>
      <c r="P80" s="11" t="str">
        <f aca="false">A80&amp;"|"&amp;O80</f>
        <v>FedYogi|11</v>
      </c>
    </row>
    <row r="81" customFormat="false" ht="15" hidden="false" customHeight="false" outlineLevel="0" collapsed="false">
      <c r="A81" s="6" t="s">
        <v>41</v>
      </c>
      <c r="B81" s="7" t="n">
        <v>0.001</v>
      </c>
      <c r="C81" s="7" t="n">
        <v>0.0031622776601683</v>
      </c>
      <c r="D81" s="7"/>
      <c r="E81" s="6"/>
      <c r="F81" s="8" t="n">
        <v>0.488391654662442</v>
      </c>
      <c r="G81" s="8" t="n">
        <v>0.492882929793906</v>
      </c>
      <c r="H81" s="8" t="n">
        <v>0.580301865025957</v>
      </c>
      <c r="I81" s="8" t="n">
        <v>0.503362434572971</v>
      </c>
      <c r="J81" s="8" t="n">
        <v>0.45426134176666</v>
      </c>
      <c r="K81" s="8" t="n">
        <v>0.347763347763348</v>
      </c>
      <c r="L81" s="8" t="n">
        <v>0.611486486486487</v>
      </c>
      <c r="M81" s="9" t="n">
        <f aca="false">IF(COUNT(G81:L81)=6,AVERAGE(G81:L81),"")</f>
        <v>0.498343067568221</v>
      </c>
      <c r="N81" s="10" t="s">
        <v>49</v>
      </c>
      <c r="O81" s="10" t="n">
        <f aca="false">IF(F81="","",COUNTIFS($A$2:$A$234,A81,$F$2:$F$234,"&gt;"&amp;F81)+1)</f>
        <v>5</v>
      </c>
      <c r="P81" s="11" t="str">
        <f aca="false">A81&amp;"|"&amp;O81</f>
        <v>FedYogi|5</v>
      </c>
    </row>
    <row r="82" customFormat="false" ht="15" hidden="false" customHeight="false" outlineLevel="0" collapsed="false">
      <c r="A82" s="6" t="s">
        <v>41</v>
      </c>
      <c r="B82" s="7" t="n">
        <v>0.001</v>
      </c>
      <c r="C82" s="7" t="n">
        <v>0.01</v>
      </c>
      <c r="D82" s="7"/>
      <c r="E82" s="6"/>
      <c r="F82" s="8" t="n">
        <v>0.476299795332978</v>
      </c>
      <c r="G82" s="8" t="n">
        <v>0.496578723168346</v>
      </c>
      <c r="H82" s="8" t="n">
        <v>0.61660257642761</v>
      </c>
      <c r="I82" s="8" t="n">
        <v>0.61408745013506</v>
      </c>
      <c r="J82" s="8" t="n">
        <v>0.313269707688154</v>
      </c>
      <c r="K82" s="8" t="n">
        <v>0.322304679447537</v>
      </c>
      <c r="L82" s="8" t="n">
        <v>0.553866366366366</v>
      </c>
      <c r="M82" s="9" t="n">
        <f aca="false">IF(COUNT(G82:L82)=6,AVERAGE(G82:L82),"")</f>
        <v>0.486118250538845</v>
      </c>
      <c r="N82" s="10" t="s">
        <v>49</v>
      </c>
      <c r="O82" s="10" t="n">
        <f aca="false">IF(F82="","",COUNTIFS($A$2:$A$234,A82,$F$2:$F$234,"&gt;"&amp;F82)+1)</f>
        <v>6</v>
      </c>
      <c r="P82" s="11" t="str">
        <f aca="false">A82&amp;"|"&amp;O82</f>
        <v>FedYogi|6</v>
      </c>
    </row>
    <row r="83" customFormat="false" ht="15" hidden="false" customHeight="false" outlineLevel="0" collapsed="false">
      <c r="A83" s="6" t="s">
        <v>41</v>
      </c>
      <c r="B83" s="7" t="n">
        <v>0.001</v>
      </c>
      <c r="C83" s="7" t="n">
        <v>0.0316227766016837</v>
      </c>
      <c r="D83" s="7"/>
      <c r="E83" s="6"/>
      <c r="F83" s="8" t="n">
        <v>0.445505045001207</v>
      </c>
      <c r="G83" s="8" t="n">
        <v>0.449097746179617</v>
      </c>
      <c r="H83" s="8" t="n">
        <v>0.421274754854836</v>
      </c>
      <c r="I83" s="8" t="n">
        <v>0.522608835503469</v>
      </c>
      <c r="J83" s="8" t="n">
        <v>0.267933157344372</v>
      </c>
      <c r="K83" s="8" t="n">
        <v>0.448876520305092</v>
      </c>
      <c r="L83" s="8" t="n">
        <v>0.556118618618619</v>
      </c>
      <c r="M83" s="9" t="n">
        <f aca="false">IF(COUNT(G83:L83)=6,AVERAGE(G83:L83),"")</f>
        <v>0.444318272134334</v>
      </c>
      <c r="N83" s="10" t="s">
        <v>49</v>
      </c>
      <c r="O83" s="10" t="n">
        <f aca="false">IF(F83="","",COUNTIFS($A$2:$A$234,A83,$F$2:$F$234,"&gt;"&amp;F83)+1)</f>
        <v>10</v>
      </c>
      <c r="P83" s="11" t="str">
        <f aca="false">A83&amp;"|"&amp;O83</f>
        <v>FedYogi|10</v>
      </c>
    </row>
    <row r="84" customFormat="false" ht="15" hidden="false" customHeight="false" outlineLevel="0" collapsed="false">
      <c r="A84" s="6" t="s">
        <v>41</v>
      </c>
      <c r="B84" s="7" t="n">
        <v>0.001</v>
      </c>
      <c r="C84" s="7" t="n">
        <v>0.1</v>
      </c>
      <c r="D84" s="7"/>
      <c r="E84" s="6"/>
      <c r="F84" s="8" t="n">
        <v>0.125</v>
      </c>
      <c r="G84" s="8" t="n">
        <v>0.125</v>
      </c>
      <c r="H84" s="8" t="n">
        <v>0.2</v>
      </c>
      <c r="I84" s="8" t="n">
        <v>0.142857142857143</v>
      </c>
      <c r="J84" s="8" t="n">
        <v>0</v>
      </c>
      <c r="K84" s="8" t="n">
        <v>0</v>
      </c>
      <c r="L84" s="8" t="n">
        <v>0.25</v>
      </c>
      <c r="M84" s="9" t="n">
        <f aca="false">IF(COUNT(G84:L84)=6,AVERAGE(G84:L84),"")</f>
        <v>0.119642857142857</v>
      </c>
      <c r="N84" s="10" t="s">
        <v>49</v>
      </c>
      <c r="O84" s="10" t="n">
        <f aca="false">IF(F84="","",COUNTIFS($A$2:$A$234,A84,$F$2:$F$234,"&gt;"&amp;F84)+1)</f>
        <v>19</v>
      </c>
      <c r="P84" s="11" t="str">
        <f aca="false">A84&amp;"|"&amp;O84</f>
        <v>FedYogi|19</v>
      </c>
    </row>
    <row r="85" customFormat="false" ht="15" hidden="false" customHeight="false" outlineLevel="0" collapsed="false">
      <c r="A85" s="6" t="s">
        <v>41</v>
      </c>
      <c r="B85" s="7" t="n">
        <v>0.001</v>
      </c>
      <c r="C85" s="7" t="n">
        <v>0.316227766016838</v>
      </c>
      <c r="D85" s="7"/>
      <c r="E85" s="6"/>
      <c r="F85" s="8" t="n">
        <v>0.125</v>
      </c>
      <c r="G85" s="8" t="n">
        <v>0.125</v>
      </c>
      <c r="H85" s="8" t="n">
        <v>0.2</v>
      </c>
      <c r="I85" s="8" t="n">
        <v>0.142857142857143</v>
      </c>
      <c r="J85" s="8" t="n">
        <v>0.142857142857143</v>
      </c>
      <c r="K85" s="8" t="n">
        <v>0</v>
      </c>
      <c r="L85" s="8" t="n">
        <v>0</v>
      </c>
      <c r="M85" s="9" t="n">
        <f aca="false">IF(COUNT(G85:L85)=6,AVERAGE(G85:L85),"")</f>
        <v>0.101785714285714</v>
      </c>
      <c r="N85" s="10" t="s">
        <v>49</v>
      </c>
      <c r="O85" s="10" t="n">
        <f aca="false">IF(F85="","",COUNTIFS($A$2:$A$234,A85,$F$2:$F$234,"&gt;"&amp;F85)+1)</f>
        <v>19</v>
      </c>
      <c r="P85" s="11" t="str">
        <f aca="false">A85&amp;"|"&amp;O85</f>
        <v>FedYogi|19</v>
      </c>
    </row>
    <row r="86" customFormat="false" ht="15" hidden="false" customHeight="false" outlineLevel="0" collapsed="false">
      <c r="A86" s="12" t="s">
        <v>41</v>
      </c>
      <c r="B86" s="13" t="n">
        <v>0.001</v>
      </c>
      <c r="C86" s="13" t="n">
        <v>1</v>
      </c>
      <c r="D86" s="13"/>
      <c r="E86" s="12"/>
      <c r="F86" s="14"/>
      <c r="G86" s="14"/>
      <c r="H86" s="14"/>
      <c r="I86" s="14"/>
      <c r="J86" s="14"/>
      <c r="K86" s="14"/>
      <c r="L86" s="14"/>
      <c r="M86" s="15" t="str">
        <f aca="false">IF(COUNT(G86:L86)=6,AVERAGE(G86:L86),"")</f>
        <v/>
      </c>
      <c r="N86" s="16" t="s">
        <v>50</v>
      </c>
      <c r="O86" s="16" t="str">
        <f aca="false">IF(F86="","",COUNTIFS($A$2:$A$234,A86,$F$2:$F$234,"&gt;"&amp;F86)+1)</f>
        <v/>
      </c>
      <c r="P86" s="17" t="str">
        <f aca="false">A86&amp;"|"&amp;O86</f>
        <v>FedYogi|</v>
      </c>
    </row>
    <row r="87" customFormat="false" ht="15" hidden="false" customHeight="false" outlineLevel="0" collapsed="false">
      <c r="A87" s="12" t="s">
        <v>41</v>
      </c>
      <c r="B87" s="13" t="n">
        <v>0.001</v>
      </c>
      <c r="C87" s="13" t="n">
        <v>10</v>
      </c>
      <c r="D87" s="13"/>
      <c r="E87" s="12"/>
      <c r="F87" s="14"/>
      <c r="G87" s="14"/>
      <c r="H87" s="14"/>
      <c r="I87" s="14"/>
      <c r="J87" s="14"/>
      <c r="K87" s="14"/>
      <c r="L87" s="14"/>
      <c r="M87" s="15" t="str">
        <f aca="false">IF(COUNT(G87:L87)=6,AVERAGE(G87:L87),"")</f>
        <v/>
      </c>
      <c r="N87" s="16" t="s">
        <v>50</v>
      </c>
      <c r="O87" s="16" t="str">
        <f aca="false">IF(F87="","",COUNTIFS($A$2:$A$234,A87,$F$2:$F$234,"&gt;"&amp;F87)+1)</f>
        <v/>
      </c>
      <c r="P87" s="17" t="str">
        <f aca="false">A87&amp;"|"&amp;O87</f>
        <v>FedYogi|</v>
      </c>
    </row>
    <row r="88" customFormat="false" ht="15" hidden="false" customHeight="false" outlineLevel="0" collapsed="false">
      <c r="A88" s="6" t="s">
        <v>41</v>
      </c>
      <c r="B88" s="7" t="n">
        <v>0.0031622776601683</v>
      </c>
      <c r="C88" s="7" t="n">
        <v>0.001</v>
      </c>
      <c r="D88" s="7"/>
      <c r="E88" s="6"/>
      <c r="F88" s="8" t="n">
        <v>0.46407069519941</v>
      </c>
      <c r="G88" s="8" t="n">
        <v>0.464637754498227</v>
      </c>
      <c r="H88" s="8" t="n">
        <v>0.624754854835609</v>
      </c>
      <c r="I88" s="8" t="n">
        <v>0.538567124110872</v>
      </c>
      <c r="J88" s="8" t="n">
        <v>0.389192867032568</v>
      </c>
      <c r="K88" s="8" t="n">
        <v>0.376520305091734</v>
      </c>
      <c r="L88" s="8" t="n">
        <v>0.690878378378378</v>
      </c>
      <c r="M88" s="9" t="n">
        <f aca="false">IF(COUNT(G88:L88)=6,AVERAGE(G88:L88),"")</f>
        <v>0.514091880657898</v>
      </c>
      <c r="N88" s="10" t="s">
        <v>49</v>
      </c>
      <c r="O88" s="10" t="n">
        <f aca="false">IF(F88="","",COUNTIFS($A$2:$A$234,A88,$F$2:$F$234,"&gt;"&amp;F88)+1)</f>
        <v>8</v>
      </c>
      <c r="P88" s="11" t="str">
        <f aca="false">A88&amp;"|"&amp;O88</f>
        <v>FedYogi|8</v>
      </c>
    </row>
    <row r="89" customFormat="false" ht="15" hidden="false" customHeight="false" outlineLevel="0" collapsed="false">
      <c r="A89" s="6" t="s">
        <v>41</v>
      </c>
      <c r="B89" s="7" t="n">
        <v>0.0031622776601683</v>
      </c>
      <c r="C89" s="7" t="n">
        <v>0.0031622776601683</v>
      </c>
      <c r="D89" s="7"/>
      <c r="E89" s="6"/>
      <c r="F89" s="8" t="n">
        <v>0.579206731879326</v>
      </c>
      <c r="G89" s="8" t="n">
        <v>0.593154781355029</v>
      </c>
      <c r="H89" s="8" t="n">
        <v>0.674447221688137</v>
      </c>
      <c r="I89" s="8" t="n">
        <v>0.67390682352558</v>
      </c>
      <c r="J89" s="8" t="n">
        <v>0.523677421588593</v>
      </c>
      <c r="K89" s="8" t="n">
        <v>0.383323026180169</v>
      </c>
      <c r="L89" s="8" t="n">
        <v>0.651463963963964</v>
      </c>
      <c r="M89" s="9" t="n">
        <f aca="false">IF(COUNT(G89:L89)=6,AVERAGE(G89:L89),"")</f>
        <v>0.583328873050245</v>
      </c>
      <c r="N89" s="10" t="s">
        <v>49</v>
      </c>
      <c r="O89" s="10" t="n">
        <f aca="false">IF(F89="","",COUNTIFS($A$2:$A$234,A89,$F$2:$F$234,"&gt;"&amp;F89)+1)</f>
        <v>1</v>
      </c>
      <c r="P89" s="11" t="str">
        <f aca="false">A89&amp;"|"&amp;O89</f>
        <v>FedYogi|1</v>
      </c>
    </row>
    <row r="90" customFormat="false" ht="15" hidden="false" customHeight="false" outlineLevel="0" collapsed="false">
      <c r="A90" s="6" t="s">
        <v>41</v>
      </c>
      <c r="B90" s="7" t="n">
        <v>0.0031622776601683</v>
      </c>
      <c r="C90" s="7" t="n">
        <v>0.01</v>
      </c>
      <c r="D90" s="7"/>
      <c r="E90" s="6"/>
      <c r="F90" s="8" t="n">
        <v>0.470235104362027</v>
      </c>
      <c r="G90" s="8" t="n">
        <v>0.512406714431823</v>
      </c>
      <c r="H90" s="8" t="n">
        <v>0.55063449336666</v>
      </c>
      <c r="I90" s="8" t="n">
        <v>0.474021435555289</v>
      </c>
      <c r="J90" s="8" t="n">
        <v>0.339590186607969</v>
      </c>
      <c r="K90" s="8" t="n">
        <v>0.352401566687281</v>
      </c>
      <c r="L90" s="8" t="n">
        <v>0.618993993993994</v>
      </c>
      <c r="M90" s="9" t="n">
        <f aca="false">IF(COUNT(G90:L90)=6,AVERAGE(G90:L90),"")</f>
        <v>0.474674731773836</v>
      </c>
      <c r="N90" s="10" t="s">
        <v>49</v>
      </c>
      <c r="O90" s="10" t="n">
        <f aca="false">IF(F90="","",COUNTIFS($A$2:$A$234,A90,$F$2:$F$234,"&gt;"&amp;F90)+1)</f>
        <v>7</v>
      </c>
      <c r="P90" s="11" t="str">
        <f aca="false">A90&amp;"|"&amp;O90</f>
        <v>FedYogi|7</v>
      </c>
    </row>
    <row r="91" customFormat="false" ht="15" hidden="false" customHeight="false" outlineLevel="0" collapsed="false">
      <c r="A91" s="6" t="s">
        <v>41</v>
      </c>
      <c r="B91" s="7" t="n">
        <v>0.0031622776601683</v>
      </c>
      <c r="C91" s="7" t="n">
        <v>0.0316227766016837</v>
      </c>
      <c r="D91" s="7"/>
      <c r="E91" s="6"/>
      <c r="F91" s="8" t="n">
        <v>0.333451727892622</v>
      </c>
      <c r="G91" s="8" t="n">
        <v>0.297267158241179</v>
      </c>
      <c r="H91" s="8" t="n">
        <v>0.554729859642376</v>
      </c>
      <c r="I91" s="8" t="n">
        <v>0.400328542403466</v>
      </c>
      <c r="J91" s="8" t="n">
        <v>0.265706775427698</v>
      </c>
      <c r="K91" s="8" t="n">
        <v>0.460523603380746</v>
      </c>
      <c r="L91" s="8" t="n">
        <v>0.530968468468469</v>
      </c>
      <c r="M91" s="9" t="n">
        <f aca="false">IF(COUNT(G91:L91)=6,AVERAGE(G91:L91),"")</f>
        <v>0.418254067927322</v>
      </c>
      <c r="N91" s="10" t="s">
        <v>49</v>
      </c>
      <c r="O91" s="10" t="n">
        <f aca="false">IF(F91="","",COUNTIFS($A$2:$A$234,A91,$F$2:$F$234,"&gt;"&amp;F91)+1)</f>
        <v>13</v>
      </c>
      <c r="P91" s="11" t="str">
        <f aca="false">A91&amp;"|"&amp;O91</f>
        <v>FedYogi|13</v>
      </c>
    </row>
    <row r="92" customFormat="false" ht="15" hidden="false" customHeight="false" outlineLevel="0" collapsed="false">
      <c r="A92" s="6" t="s">
        <v>41</v>
      </c>
      <c r="B92" s="7" t="n">
        <v>0.0031622776601683</v>
      </c>
      <c r="C92" s="7" t="n">
        <v>0.1</v>
      </c>
      <c r="D92" s="7"/>
      <c r="E92" s="6"/>
      <c r="F92" s="8" t="n">
        <v>0.125</v>
      </c>
      <c r="G92" s="8" t="n">
        <v>0.125</v>
      </c>
      <c r="H92" s="8" t="n">
        <v>0.2</v>
      </c>
      <c r="I92" s="8" t="n">
        <v>0.142857142857143</v>
      </c>
      <c r="J92" s="8" t="n">
        <v>0.142857142857143</v>
      </c>
      <c r="K92" s="8" t="n">
        <v>0.333333333333333</v>
      </c>
      <c r="L92" s="8" t="n">
        <v>0.25</v>
      </c>
      <c r="M92" s="9" t="n">
        <f aca="false">IF(COUNT(G92:L92)=6,AVERAGE(G92:L92),"")</f>
        <v>0.199007936507936</v>
      </c>
      <c r="N92" s="10" t="s">
        <v>49</v>
      </c>
      <c r="O92" s="10" t="n">
        <f aca="false">IF(F92="","",COUNTIFS($A$2:$A$234,A92,$F$2:$F$234,"&gt;"&amp;F92)+1)</f>
        <v>19</v>
      </c>
      <c r="P92" s="11" t="str">
        <f aca="false">A92&amp;"|"&amp;O92</f>
        <v>FedYogi|19</v>
      </c>
    </row>
    <row r="93" customFormat="false" ht="15" hidden="false" customHeight="false" outlineLevel="0" collapsed="false">
      <c r="A93" s="6" t="s">
        <v>41</v>
      </c>
      <c r="B93" s="7" t="n">
        <v>0.0031622776601683</v>
      </c>
      <c r="C93" s="7" t="n">
        <v>0.316227766016838</v>
      </c>
      <c r="D93" s="7"/>
      <c r="E93" s="6"/>
      <c r="F93" s="8" t="n">
        <v>0.125</v>
      </c>
      <c r="G93" s="8" t="n">
        <v>0.125</v>
      </c>
      <c r="H93" s="8" t="n">
        <v>0.2</v>
      </c>
      <c r="I93" s="8" t="n">
        <v>0.142857142857143</v>
      </c>
      <c r="J93" s="8" t="n">
        <v>0.142857142857143</v>
      </c>
      <c r="K93" s="8" t="n">
        <v>0.333333333333333</v>
      </c>
      <c r="L93" s="8" t="n">
        <v>0.25</v>
      </c>
      <c r="M93" s="9" t="n">
        <f aca="false">IF(COUNT(G93:L93)=6,AVERAGE(G93:L93),"")</f>
        <v>0.199007936507936</v>
      </c>
      <c r="N93" s="10" t="s">
        <v>49</v>
      </c>
      <c r="O93" s="10" t="n">
        <f aca="false">IF(F93="","",COUNTIFS($A$2:$A$234,A93,$F$2:$F$234,"&gt;"&amp;F93)+1)</f>
        <v>19</v>
      </c>
      <c r="P93" s="11" t="str">
        <f aca="false">A93&amp;"|"&amp;O93</f>
        <v>FedYogi|19</v>
      </c>
    </row>
    <row r="94" customFormat="false" ht="15" hidden="false" customHeight="false" outlineLevel="0" collapsed="false">
      <c r="A94" s="12" t="s">
        <v>41</v>
      </c>
      <c r="B94" s="13" t="n">
        <v>0.0031622776601683</v>
      </c>
      <c r="C94" s="13" t="n">
        <v>1</v>
      </c>
      <c r="D94" s="13"/>
      <c r="E94" s="12"/>
      <c r="F94" s="14"/>
      <c r="G94" s="14"/>
      <c r="H94" s="14"/>
      <c r="I94" s="14"/>
      <c r="J94" s="14"/>
      <c r="K94" s="14"/>
      <c r="L94" s="14"/>
      <c r="M94" s="15" t="str">
        <f aca="false">IF(COUNT(G94:L94)=6,AVERAGE(G94:L94),"")</f>
        <v/>
      </c>
      <c r="N94" s="16" t="s">
        <v>50</v>
      </c>
      <c r="O94" s="16" t="str">
        <f aca="false">IF(F94="","",COUNTIFS($A$2:$A$234,A94,$F$2:$F$234,"&gt;"&amp;F94)+1)</f>
        <v/>
      </c>
      <c r="P94" s="17" t="str">
        <f aca="false">A94&amp;"|"&amp;O94</f>
        <v>FedYogi|</v>
      </c>
    </row>
    <row r="95" customFormat="false" ht="15" hidden="false" customHeight="false" outlineLevel="0" collapsed="false">
      <c r="A95" s="12" t="s">
        <v>41</v>
      </c>
      <c r="B95" s="13" t="n">
        <v>0.0031622776601683</v>
      </c>
      <c r="C95" s="13" t="n">
        <v>10</v>
      </c>
      <c r="D95" s="13"/>
      <c r="E95" s="12"/>
      <c r="F95" s="14"/>
      <c r="G95" s="14"/>
      <c r="H95" s="14"/>
      <c r="I95" s="14"/>
      <c r="J95" s="14"/>
      <c r="K95" s="14"/>
      <c r="L95" s="14"/>
      <c r="M95" s="15" t="str">
        <f aca="false">IF(COUNT(G95:L95)=6,AVERAGE(G95:L95),"")</f>
        <v/>
      </c>
      <c r="N95" s="16" t="s">
        <v>50</v>
      </c>
      <c r="O95" s="16" t="str">
        <f aca="false">IF(F95="","",COUNTIFS($A$2:$A$234,A95,$F$2:$F$234,"&gt;"&amp;F95)+1)</f>
        <v/>
      </c>
      <c r="P95" s="17" t="str">
        <f aca="false">A95&amp;"|"&amp;O95</f>
        <v>FedYogi|</v>
      </c>
    </row>
    <row r="96" customFormat="false" ht="15" hidden="false" customHeight="false" outlineLevel="0" collapsed="false">
      <c r="A96" s="6" t="s">
        <v>41</v>
      </c>
      <c r="B96" s="7" t="n">
        <v>0.01</v>
      </c>
      <c r="C96" s="7" t="n">
        <v>0.001</v>
      </c>
      <c r="D96" s="7"/>
      <c r="E96" s="6"/>
      <c r="F96" s="8" t="n">
        <v>0.51572488944992</v>
      </c>
      <c r="G96" s="8" t="n">
        <v>0.554794729531331</v>
      </c>
      <c r="H96" s="8" t="n">
        <v>0.526119976927514</v>
      </c>
      <c r="I96" s="8" t="n">
        <v>0.635516197237502</v>
      </c>
      <c r="J96" s="8" t="n">
        <v>0.434042537909636</v>
      </c>
      <c r="K96" s="8" t="n">
        <v>0.389919604205319</v>
      </c>
      <c r="L96" s="8" t="n">
        <v>0.563813813813814</v>
      </c>
      <c r="M96" s="9" t="n">
        <f aca="false">IF(COUNT(G96:L96)=6,AVERAGE(G96:L96),"")</f>
        <v>0.517367809937519</v>
      </c>
      <c r="N96" s="10" t="s">
        <v>49</v>
      </c>
      <c r="O96" s="10" t="n">
        <f aca="false">IF(F96="","",COUNTIFS($A$2:$A$234,A96,$F$2:$F$234,"&gt;"&amp;F96)+1)</f>
        <v>3</v>
      </c>
      <c r="P96" s="11" t="str">
        <f aca="false">A96&amp;"|"&amp;O96</f>
        <v>FedYogi|3</v>
      </c>
    </row>
    <row r="97" customFormat="false" ht="15" hidden="false" customHeight="false" outlineLevel="0" collapsed="false">
      <c r="A97" s="6" t="s">
        <v>41</v>
      </c>
      <c r="B97" s="7" t="n">
        <v>0.01</v>
      </c>
      <c r="C97" s="7" t="n">
        <v>0.0031622776601683</v>
      </c>
      <c r="D97" s="7"/>
      <c r="E97" s="6"/>
      <c r="F97" s="8" t="n">
        <v>0.569427320354015</v>
      </c>
      <c r="G97" s="8" t="n">
        <v>0.590803723356724</v>
      </c>
      <c r="H97" s="8" t="n">
        <v>0.671197846567968</v>
      </c>
      <c r="I97" s="8" t="n">
        <v>0.68936380082648</v>
      </c>
      <c r="J97" s="8" t="n">
        <v>0.476269354457902</v>
      </c>
      <c r="K97" s="8" t="n">
        <v>0.376314162028448</v>
      </c>
      <c r="L97" s="8" t="n">
        <v>0.653340840840841</v>
      </c>
      <c r="M97" s="9" t="n">
        <f aca="false">IF(COUNT(G97:L97)=6,AVERAGE(G97:L97),"")</f>
        <v>0.576214954679727</v>
      </c>
      <c r="N97" s="10" t="s">
        <v>49</v>
      </c>
      <c r="O97" s="10" t="n">
        <f aca="false">IF(F97="","",COUNTIFS($A$2:$A$234,A97,$F$2:$F$234,"&gt;"&amp;F97)+1)</f>
        <v>2</v>
      </c>
      <c r="P97" s="11" t="str">
        <f aca="false">A97&amp;"|"&amp;O97</f>
        <v>FedYogi|2</v>
      </c>
    </row>
    <row r="98" customFormat="false" ht="15" hidden="false" customHeight="false" outlineLevel="0" collapsed="false">
      <c r="A98" s="6" t="s">
        <v>41</v>
      </c>
      <c r="B98" s="7" t="n">
        <v>0.01</v>
      </c>
      <c r="C98" s="7" t="n">
        <v>0.01</v>
      </c>
      <c r="D98" s="7"/>
      <c r="E98" s="6"/>
      <c r="F98" s="8" t="n">
        <v>0.510386232946026</v>
      </c>
      <c r="G98" s="8" t="n">
        <v>0.556511006520595</v>
      </c>
      <c r="H98" s="8" t="n">
        <v>0.569760088871798</v>
      </c>
      <c r="I98" s="8" t="n">
        <v>0.503819339856379</v>
      </c>
      <c r="J98" s="8" t="n">
        <v>0.323994186986614</v>
      </c>
      <c r="K98" s="8" t="n">
        <v>0.351267779839209</v>
      </c>
      <c r="L98" s="8" t="n">
        <v>0.629316816816817</v>
      </c>
      <c r="M98" s="9" t="n">
        <f aca="false">IF(COUNT(G98:L98)=6,AVERAGE(G98:L98),"")</f>
        <v>0.489111536481902</v>
      </c>
      <c r="N98" s="10" t="s">
        <v>49</v>
      </c>
      <c r="O98" s="10" t="n">
        <f aca="false">IF(F98="","",COUNTIFS($A$2:$A$234,A98,$F$2:$F$234,"&gt;"&amp;F98)+1)</f>
        <v>4</v>
      </c>
      <c r="P98" s="11" t="str">
        <f aca="false">A98&amp;"|"&amp;O98</f>
        <v>FedYogi|4</v>
      </c>
    </row>
    <row r="99" customFormat="false" ht="15" hidden="false" customHeight="false" outlineLevel="0" collapsed="false">
      <c r="A99" s="6" t="s">
        <v>41</v>
      </c>
      <c r="B99" s="7" t="n">
        <v>0.01</v>
      </c>
      <c r="C99" s="7" t="n">
        <v>0.0316227766016837</v>
      </c>
      <c r="D99" s="7"/>
      <c r="E99" s="6"/>
      <c r="F99" s="8" t="n">
        <v>0.210825186813747</v>
      </c>
      <c r="G99" s="8" t="n">
        <v>0.210526306524701</v>
      </c>
      <c r="H99" s="8" t="n">
        <v>0.431455489328975</v>
      </c>
      <c r="I99" s="8" t="n">
        <v>0.25870057274387</v>
      </c>
      <c r="J99" s="8" t="n">
        <v>0.273468264342935</v>
      </c>
      <c r="K99" s="8" t="n">
        <v>0.432385075242218</v>
      </c>
      <c r="L99" s="8" t="n">
        <v>0.526276276276276</v>
      </c>
      <c r="M99" s="9" t="n">
        <f aca="false">IF(COUNT(G99:L99)=6,AVERAGE(G99:L99),"")</f>
        <v>0.355468664076496</v>
      </c>
      <c r="N99" s="10" t="s">
        <v>49</v>
      </c>
      <c r="O99" s="10" t="n">
        <f aca="false">IF(F99="","",COUNTIFS($A$2:$A$234,A99,$F$2:$F$234,"&gt;"&amp;F99)+1)</f>
        <v>15</v>
      </c>
      <c r="P99" s="11" t="str">
        <f aca="false">A99&amp;"|"&amp;O99</f>
        <v>FedYogi|15</v>
      </c>
    </row>
    <row r="100" customFormat="false" ht="15" hidden="false" customHeight="false" outlineLevel="0" collapsed="false">
      <c r="A100" s="6" t="s">
        <v>41</v>
      </c>
      <c r="B100" s="7" t="n">
        <v>0.01</v>
      </c>
      <c r="C100" s="7" t="n">
        <v>0.1</v>
      </c>
      <c r="D100" s="7"/>
      <c r="E100" s="6"/>
      <c r="F100" s="8" t="n">
        <v>0.125</v>
      </c>
      <c r="G100" s="8" t="n">
        <v>0.125</v>
      </c>
      <c r="H100" s="8" t="n">
        <v>0.2</v>
      </c>
      <c r="I100" s="8" t="n">
        <v>0.142857142857143</v>
      </c>
      <c r="J100" s="8" t="n">
        <v>0.142857142857143</v>
      </c>
      <c r="K100" s="8" t="n">
        <v>0.333333333333333</v>
      </c>
      <c r="L100" s="8" t="n">
        <v>0.25</v>
      </c>
      <c r="M100" s="9" t="n">
        <f aca="false">IF(COUNT(G100:L100)=6,AVERAGE(G100:L100),"")</f>
        <v>0.199007936507936</v>
      </c>
      <c r="N100" s="10" t="s">
        <v>49</v>
      </c>
      <c r="O100" s="10" t="n">
        <f aca="false">IF(F100="","",COUNTIFS($A$2:$A$234,A100,$F$2:$F$234,"&gt;"&amp;F100)+1)</f>
        <v>19</v>
      </c>
      <c r="P100" s="11" t="str">
        <f aca="false">A100&amp;"|"&amp;O100</f>
        <v>FedYogi|19</v>
      </c>
    </row>
    <row r="101" customFormat="false" ht="15" hidden="false" customHeight="false" outlineLevel="0" collapsed="false">
      <c r="A101" s="6" t="s">
        <v>41</v>
      </c>
      <c r="B101" s="7" t="n">
        <v>0.01</v>
      </c>
      <c r="C101" s="7" t="n">
        <v>0.316227766016838</v>
      </c>
      <c r="D101" s="7"/>
      <c r="E101" s="6"/>
      <c r="F101" s="8" t="n">
        <v>0.125</v>
      </c>
      <c r="G101" s="8" t="n">
        <v>0.125</v>
      </c>
      <c r="H101" s="8" t="n">
        <v>0.2</v>
      </c>
      <c r="I101" s="8" t="n">
        <v>0.142857142857143</v>
      </c>
      <c r="J101" s="8" t="n">
        <v>0</v>
      </c>
      <c r="K101" s="8" t="n">
        <v>0</v>
      </c>
      <c r="L101" s="8" t="n">
        <v>0.25</v>
      </c>
      <c r="M101" s="9" t="n">
        <f aca="false">IF(COUNT(G101:L101)=6,AVERAGE(G101:L101),"")</f>
        <v>0.119642857142857</v>
      </c>
      <c r="N101" s="10" t="s">
        <v>49</v>
      </c>
      <c r="O101" s="10" t="n">
        <f aca="false">IF(F101="","",COUNTIFS($A$2:$A$234,A101,$F$2:$F$234,"&gt;"&amp;F101)+1)</f>
        <v>19</v>
      </c>
      <c r="P101" s="11" t="str">
        <f aca="false">A101&amp;"|"&amp;O101</f>
        <v>FedYogi|19</v>
      </c>
    </row>
    <row r="102" customFormat="false" ht="15" hidden="false" customHeight="false" outlineLevel="0" collapsed="false">
      <c r="A102" s="12" t="s">
        <v>41</v>
      </c>
      <c r="B102" s="13" t="n">
        <v>0.01</v>
      </c>
      <c r="C102" s="13" t="n">
        <v>1</v>
      </c>
      <c r="D102" s="13"/>
      <c r="E102" s="12"/>
      <c r="F102" s="14"/>
      <c r="G102" s="14"/>
      <c r="H102" s="14"/>
      <c r="I102" s="14"/>
      <c r="J102" s="14"/>
      <c r="K102" s="14"/>
      <c r="L102" s="14"/>
      <c r="M102" s="15" t="str">
        <f aca="false">IF(COUNT(G102:L102)=6,AVERAGE(G102:L102),"")</f>
        <v/>
      </c>
      <c r="N102" s="16" t="s">
        <v>50</v>
      </c>
      <c r="O102" s="16" t="str">
        <f aca="false">IF(F102="","",COUNTIFS($A$2:$A$234,A102,$F$2:$F$234,"&gt;"&amp;F102)+1)</f>
        <v/>
      </c>
      <c r="P102" s="17" t="str">
        <f aca="false">A102&amp;"|"&amp;O102</f>
        <v>FedYogi|</v>
      </c>
    </row>
    <row r="103" customFormat="false" ht="15" hidden="false" customHeight="false" outlineLevel="0" collapsed="false">
      <c r="A103" s="12" t="s">
        <v>41</v>
      </c>
      <c r="B103" s="13" t="n">
        <v>0.01</v>
      </c>
      <c r="C103" s="13" t="n">
        <v>10</v>
      </c>
      <c r="D103" s="13"/>
      <c r="E103" s="12"/>
      <c r="F103" s="14"/>
      <c r="G103" s="14"/>
      <c r="H103" s="14"/>
      <c r="I103" s="14"/>
      <c r="J103" s="14"/>
      <c r="K103" s="14"/>
      <c r="L103" s="14"/>
      <c r="M103" s="15" t="str">
        <f aca="false">IF(COUNT(G103:L103)=6,AVERAGE(G103:L103),"")</f>
        <v/>
      </c>
      <c r="N103" s="16" t="s">
        <v>50</v>
      </c>
      <c r="O103" s="16" t="str">
        <f aca="false">IF(F103="","",COUNTIFS($A$2:$A$234,A103,$F$2:$F$234,"&gt;"&amp;F103)+1)</f>
        <v/>
      </c>
      <c r="P103" s="17" t="str">
        <f aca="false">A103&amp;"|"&amp;O103</f>
        <v>FedYogi|</v>
      </c>
    </row>
    <row r="104" customFormat="false" ht="15" hidden="false" customHeight="false" outlineLevel="0" collapsed="false">
      <c r="A104" s="6" t="s">
        <v>41</v>
      </c>
      <c r="B104" s="7" t="n">
        <v>0.0316227766016837</v>
      </c>
      <c r="C104" s="7" t="n">
        <v>0.001</v>
      </c>
      <c r="D104" s="7"/>
      <c r="E104" s="6"/>
      <c r="F104" s="8" t="n">
        <v>0.227912610567436</v>
      </c>
      <c r="G104" s="8" t="n">
        <v>0.195059530685607</v>
      </c>
      <c r="H104" s="8" t="n">
        <v>0.269023051122647</v>
      </c>
      <c r="I104" s="8" t="n">
        <v>0.307045086388868</v>
      </c>
      <c r="J104" s="8" t="n">
        <v>0.280495483698921</v>
      </c>
      <c r="K104" s="8" t="n">
        <v>0.0606060606060606</v>
      </c>
      <c r="L104" s="8" t="n">
        <v>0.0168918918918918</v>
      </c>
      <c r="M104" s="9" t="n">
        <f aca="false">IF(COUNT(G104:L104)=6,AVERAGE(G104:L104),"")</f>
        <v>0.188186850732333</v>
      </c>
      <c r="N104" s="10" t="s">
        <v>49</v>
      </c>
      <c r="O104" s="10" t="n">
        <f aca="false">IF(F104="","",COUNTIFS($A$2:$A$234,A104,$F$2:$F$234,"&gt;"&amp;F104)+1)</f>
        <v>14</v>
      </c>
      <c r="P104" s="11" t="str">
        <f aca="false">A104&amp;"|"&amp;O104</f>
        <v>FedYogi|14</v>
      </c>
    </row>
    <row r="105" customFormat="false" ht="15" hidden="false" customHeight="false" outlineLevel="0" collapsed="false">
      <c r="A105" s="6" t="s">
        <v>41</v>
      </c>
      <c r="B105" s="7" t="n">
        <v>0.0316227766016837</v>
      </c>
      <c r="C105" s="7" t="n">
        <v>0.0031622776601683</v>
      </c>
      <c r="D105" s="7"/>
      <c r="E105" s="6"/>
      <c r="F105" s="8" t="n">
        <v>0.448665935473865</v>
      </c>
      <c r="G105" s="8" t="n">
        <v>0.474976974746127</v>
      </c>
      <c r="H105" s="8" t="n">
        <v>0.579244376081523</v>
      </c>
      <c r="I105" s="8" t="n">
        <v>0.445508134614855</v>
      </c>
      <c r="J105" s="8" t="n">
        <v>0.375893913794875</v>
      </c>
      <c r="K105" s="8" t="n">
        <v>0.347557204700062</v>
      </c>
      <c r="L105" s="8" t="n">
        <v>0.606606606606607</v>
      </c>
      <c r="M105" s="9" t="n">
        <f aca="false">IF(COUNT(G105:L105)=6,AVERAGE(G105:L105),"")</f>
        <v>0.471631201757341</v>
      </c>
      <c r="N105" s="10" t="s">
        <v>49</v>
      </c>
      <c r="O105" s="10" t="n">
        <f aca="false">IF(F105="","",COUNTIFS($A$2:$A$234,A105,$F$2:$F$234,"&gt;"&amp;F105)+1)</f>
        <v>9</v>
      </c>
      <c r="P105" s="11" t="str">
        <f aca="false">A105&amp;"|"&amp;O105</f>
        <v>FedYogi|9</v>
      </c>
    </row>
    <row r="106" customFormat="false" ht="15" hidden="false" customHeight="false" outlineLevel="0" collapsed="false">
      <c r="A106" s="6" t="s">
        <v>41</v>
      </c>
      <c r="B106" s="7" t="n">
        <v>0.0316227766016837</v>
      </c>
      <c r="C106" s="7" t="n">
        <v>0.01</v>
      </c>
      <c r="D106" s="7"/>
      <c r="E106" s="6"/>
      <c r="F106" s="8" t="n">
        <v>0.342152429931281</v>
      </c>
      <c r="G106" s="8" t="n">
        <v>0.359017233974549</v>
      </c>
      <c r="H106" s="8" t="n">
        <v>0.29369245230618</v>
      </c>
      <c r="I106" s="8" t="n">
        <v>0.34003666566526</v>
      </c>
      <c r="J106" s="8" t="n">
        <v>0.271283706508755</v>
      </c>
      <c r="K106" s="8" t="n">
        <v>0.358173572459287</v>
      </c>
      <c r="L106" s="8" t="n">
        <v>0.482357357357357</v>
      </c>
      <c r="M106" s="9" t="n">
        <f aca="false">IF(COUNT(G106:L106)=6,AVERAGE(G106:L106),"")</f>
        <v>0.350760164711898</v>
      </c>
      <c r="N106" s="10" t="s">
        <v>49</v>
      </c>
      <c r="O106" s="10" t="n">
        <f aca="false">IF(F106="","",COUNTIFS($A$2:$A$234,A106,$F$2:$F$234,"&gt;"&amp;F106)+1)</f>
        <v>12</v>
      </c>
      <c r="P106" s="11" t="str">
        <f aca="false">A106&amp;"|"&amp;O106</f>
        <v>FedYogi|12</v>
      </c>
    </row>
    <row r="107" customFormat="false" ht="15" hidden="false" customHeight="false" outlineLevel="0" collapsed="false">
      <c r="A107" s="6" t="s">
        <v>41</v>
      </c>
      <c r="B107" s="7" t="n">
        <v>0.0316227766016837</v>
      </c>
      <c r="C107" s="7" t="n">
        <v>0.0316227766016837</v>
      </c>
      <c r="D107" s="7"/>
      <c r="E107" s="6"/>
      <c r="F107" s="8" t="n">
        <v>0.127021886382037</v>
      </c>
      <c r="G107" s="8" t="n">
        <v>0.125375219346911</v>
      </c>
      <c r="H107" s="8" t="n">
        <v>0.169919246298789</v>
      </c>
      <c r="I107" s="8" t="n">
        <v>0.138028747623967</v>
      </c>
      <c r="J107" s="8" t="n">
        <v>0.142437797036623</v>
      </c>
      <c r="K107" s="8" t="n">
        <v>0.321273964131107</v>
      </c>
      <c r="L107" s="8" t="n">
        <v>0.214714714714715</v>
      </c>
      <c r="M107" s="9" t="n">
        <f aca="false">IF(COUNT(G107:L107)=6,AVERAGE(G107:L107),"")</f>
        <v>0.185291614858685</v>
      </c>
      <c r="N107" s="10" t="s">
        <v>49</v>
      </c>
      <c r="O107" s="10" t="n">
        <f aca="false">IF(F107="","",COUNTIFS($A$2:$A$234,A107,$F$2:$F$234,"&gt;"&amp;F107)+1)</f>
        <v>18</v>
      </c>
      <c r="P107" s="11" t="str">
        <f aca="false">A107&amp;"|"&amp;O107</f>
        <v>FedYogi|18</v>
      </c>
    </row>
    <row r="108" customFormat="false" ht="15" hidden="false" customHeight="false" outlineLevel="0" collapsed="false">
      <c r="A108" s="6" t="s">
        <v>41</v>
      </c>
      <c r="B108" s="7" t="n">
        <v>0.0316227766016837</v>
      </c>
      <c r="C108" s="7" t="n">
        <v>0.1</v>
      </c>
      <c r="D108" s="7"/>
      <c r="E108" s="6"/>
      <c r="F108" s="8" t="n">
        <v>0.125</v>
      </c>
      <c r="G108" s="8" t="n">
        <v>0.125</v>
      </c>
      <c r="H108" s="8" t="n">
        <v>0.2</v>
      </c>
      <c r="I108" s="8" t="n">
        <v>0.142857142857143</v>
      </c>
      <c r="J108" s="8" t="n">
        <v>0</v>
      </c>
      <c r="K108" s="8" t="n">
        <v>0</v>
      </c>
      <c r="L108" s="8" t="n">
        <v>0.25</v>
      </c>
      <c r="M108" s="9" t="n">
        <f aca="false">IF(COUNT(G108:L108)=6,AVERAGE(G108:L108),"")</f>
        <v>0.119642857142857</v>
      </c>
      <c r="N108" s="10" t="s">
        <v>49</v>
      </c>
      <c r="O108" s="10" t="n">
        <f aca="false">IF(F108="","",COUNTIFS($A$2:$A$234,A108,$F$2:$F$234,"&gt;"&amp;F108)+1)</f>
        <v>19</v>
      </c>
      <c r="P108" s="11" t="str">
        <f aca="false">A108&amp;"|"&amp;O108</f>
        <v>FedYogi|19</v>
      </c>
    </row>
    <row r="109" customFormat="false" ht="15" hidden="false" customHeight="false" outlineLevel="0" collapsed="false">
      <c r="A109" s="6" t="s">
        <v>41</v>
      </c>
      <c r="B109" s="7" t="n">
        <v>0.0316227766016837</v>
      </c>
      <c r="C109" s="7" t="n">
        <v>0.316227766016838</v>
      </c>
      <c r="D109" s="7"/>
      <c r="E109" s="6"/>
      <c r="F109" s="8" t="n">
        <v>0.138592657342657</v>
      </c>
      <c r="G109" s="8" t="n">
        <v>0.154513888888889</v>
      </c>
      <c r="H109" s="8" t="n">
        <v>0.193650793650794</v>
      </c>
      <c r="I109" s="8" t="n">
        <v>0.16955266955267</v>
      </c>
      <c r="J109" s="8" t="n">
        <v>0.0857142857142857</v>
      </c>
      <c r="K109" s="8" t="n">
        <v>0</v>
      </c>
      <c r="L109" s="8" t="n">
        <v>0</v>
      </c>
      <c r="M109" s="9" t="n">
        <f aca="false">IF(COUNT(G109:L109)=6,AVERAGE(G109:L109),"")</f>
        <v>0.10057193963444</v>
      </c>
      <c r="N109" s="10" t="s">
        <v>49</v>
      </c>
      <c r="O109" s="10" t="n">
        <f aca="false">IF(F109="","",COUNTIFS($A$2:$A$234,A109,$F$2:$F$234,"&gt;"&amp;F109)+1)</f>
        <v>16</v>
      </c>
      <c r="P109" s="11" t="str">
        <f aca="false">A109&amp;"|"&amp;O109</f>
        <v>FedYogi|16</v>
      </c>
    </row>
    <row r="110" customFormat="false" ht="15" hidden="false" customHeight="false" outlineLevel="0" collapsed="false">
      <c r="A110" s="12" t="s">
        <v>41</v>
      </c>
      <c r="B110" s="13" t="n">
        <v>0.0316227766016837</v>
      </c>
      <c r="C110" s="13" t="n">
        <v>1</v>
      </c>
      <c r="D110" s="13"/>
      <c r="E110" s="12"/>
      <c r="F110" s="14"/>
      <c r="G110" s="14"/>
      <c r="H110" s="14"/>
      <c r="I110" s="14"/>
      <c r="J110" s="14"/>
      <c r="K110" s="14"/>
      <c r="L110" s="14"/>
      <c r="M110" s="15" t="str">
        <f aca="false">IF(COUNT(G110:L110)=6,AVERAGE(G110:L110),"")</f>
        <v/>
      </c>
      <c r="N110" s="16" t="s">
        <v>50</v>
      </c>
      <c r="O110" s="16" t="str">
        <f aca="false">IF(F110="","",COUNTIFS($A$2:$A$234,A110,$F$2:$F$234,"&gt;"&amp;F110)+1)</f>
        <v/>
      </c>
      <c r="P110" s="17" t="str">
        <f aca="false">A110&amp;"|"&amp;O110</f>
        <v>FedYogi|</v>
      </c>
    </row>
    <row r="111" customFormat="false" ht="15" hidden="false" customHeight="false" outlineLevel="0" collapsed="false">
      <c r="A111" s="12" t="s">
        <v>41</v>
      </c>
      <c r="B111" s="13" t="n">
        <v>0.0316227766016837</v>
      </c>
      <c r="C111" s="13" t="n">
        <v>10</v>
      </c>
      <c r="D111" s="13"/>
      <c r="E111" s="12"/>
      <c r="F111" s="14"/>
      <c r="G111" s="14"/>
      <c r="H111" s="14"/>
      <c r="I111" s="14"/>
      <c r="J111" s="14"/>
      <c r="K111" s="14"/>
      <c r="L111" s="14"/>
      <c r="M111" s="15" t="str">
        <f aca="false">IF(COUNT(G111:L111)=6,AVERAGE(G111:L111),"")</f>
        <v/>
      </c>
      <c r="N111" s="16" t="s">
        <v>50</v>
      </c>
      <c r="O111" s="16" t="str">
        <f aca="false">IF(F111="","",COUNTIFS($A$2:$A$234,A111,$F$2:$F$234,"&gt;"&amp;F111)+1)</f>
        <v/>
      </c>
      <c r="P111" s="17" t="str">
        <f aca="false">A111&amp;"|"&amp;O111</f>
        <v>FedYogi|</v>
      </c>
    </row>
    <row r="112" customFormat="false" ht="15" hidden="false" customHeight="false" outlineLevel="0" collapsed="false">
      <c r="A112" s="6" t="s">
        <v>41</v>
      </c>
      <c r="B112" s="7" t="n">
        <v>0.1</v>
      </c>
      <c r="C112" s="7" t="n">
        <v>0.001</v>
      </c>
      <c r="D112" s="7"/>
      <c r="E112" s="6"/>
      <c r="F112" s="8" t="n">
        <v>0.125</v>
      </c>
      <c r="G112" s="8" t="n">
        <v>0.125</v>
      </c>
      <c r="H112" s="8" t="n">
        <v>0.2</v>
      </c>
      <c r="I112" s="8" t="n">
        <v>0.142857142857143</v>
      </c>
      <c r="J112" s="8" t="n">
        <v>0.142857142857143</v>
      </c>
      <c r="K112" s="8" t="n">
        <v>0.333333333333333</v>
      </c>
      <c r="L112" s="8" t="n">
        <v>0.25</v>
      </c>
      <c r="M112" s="9" t="n">
        <f aca="false">IF(COUNT(G112:L112)=6,AVERAGE(G112:L112),"")</f>
        <v>0.199007936507936</v>
      </c>
      <c r="N112" s="10" t="s">
        <v>49</v>
      </c>
      <c r="O112" s="10" t="n">
        <f aca="false">IF(F112="","",COUNTIFS($A$2:$A$234,A112,$F$2:$F$234,"&gt;"&amp;F112)+1)</f>
        <v>19</v>
      </c>
      <c r="P112" s="11" t="str">
        <f aca="false">A112&amp;"|"&amp;O112</f>
        <v>FedYogi|19</v>
      </c>
    </row>
    <row r="113" customFormat="false" ht="15" hidden="false" customHeight="false" outlineLevel="0" collapsed="false">
      <c r="A113" s="6" t="s">
        <v>41</v>
      </c>
      <c r="B113" s="7" t="n">
        <v>0.1</v>
      </c>
      <c r="C113" s="7" t="n">
        <v>0.0031622776601683</v>
      </c>
      <c r="D113" s="7"/>
      <c r="E113" s="6"/>
      <c r="F113" s="8" t="n">
        <v>0.125</v>
      </c>
      <c r="G113" s="8" t="n">
        <v>0.125</v>
      </c>
      <c r="H113" s="8" t="n">
        <v>0.2</v>
      </c>
      <c r="I113" s="8" t="n">
        <v>0.142857142857143</v>
      </c>
      <c r="J113" s="8" t="n">
        <v>0.142857142857143</v>
      </c>
      <c r="K113" s="8" t="n">
        <v>0</v>
      </c>
      <c r="L113" s="8" t="n">
        <v>0</v>
      </c>
      <c r="M113" s="9" t="n">
        <f aca="false">IF(COUNT(G113:L113)=6,AVERAGE(G113:L113),"")</f>
        <v>0.101785714285714</v>
      </c>
      <c r="N113" s="10" t="s">
        <v>49</v>
      </c>
      <c r="O113" s="10" t="n">
        <f aca="false">IF(F113="","",COUNTIFS($A$2:$A$234,A113,$F$2:$F$234,"&gt;"&amp;F113)+1)</f>
        <v>19</v>
      </c>
      <c r="P113" s="11" t="str">
        <f aca="false">A113&amp;"|"&amp;O113</f>
        <v>FedYogi|19</v>
      </c>
    </row>
    <row r="114" customFormat="false" ht="15" hidden="false" customHeight="false" outlineLevel="0" collapsed="false">
      <c r="A114" s="6" t="s">
        <v>41</v>
      </c>
      <c r="B114" s="7" t="n">
        <v>0.1</v>
      </c>
      <c r="C114" s="7" t="n">
        <v>0.01</v>
      </c>
      <c r="D114" s="7"/>
      <c r="E114" s="6"/>
      <c r="F114" s="8" t="n">
        <v>0.125</v>
      </c>
      <c r="G114" s="8" t="n">
        <v>0.125</v>
      </c>
      <c r="H114" s="8" t="n">
        <v>0.2</v>
      </c>
      <c r="I114" s="8" t="n">
        <v>0.142857142857143</v>
      </c>
      <c r="J114" s="8" t="n">
        <v>0</v>
      </c>
      <c r="K114" s="8" t="n">
        <v>0</v>
      </c>
      <c r="L114" s="8" t="n">
        <v>0.25</v>
      </c>
      <c r="M114" s="9" t="n">
        <f aca="false">IF(COUNT(G114:L114)=6,AVERAGE(G114:L114),"")</f>
        <v>0.119642857142857</v>
      </c>
      <c r="N114" s="10" t="s">
        <v>49</v>
      </c>
      <c r="O114" s="10" t="n">
        <f aca="false">IF(F114="","",COUNTIFS($A$2:$A$234,A114,$F$2:$F$234,"&gt;"&amp;F114)+1)</f>
        <v>19</v>
      </c>
      <c r="P114" s="11" t="str">
        <f aca="false">A114&amp;"|"&amp;O114</f>
        <v>FedYogi|19</v>
      </c>
    </row>
    <row r="115" customFormat="false" ht="15" hidden="false" customHeight="false" outlineLevel="0" collapsed="false">
      <c r="A115" s="6" t="s">
        <v>41</v>
      </c>
      <c r="B115" s="7" t="n">
        <v>0.1</v>
      </c>
      <c r="C115" s="7" t="n">
        <v>0.0316227766016837</v>
      </c>
      <c r="D115" s="7"/>
      <c r="E115" s="6"/>
      <c r="F115" s="8" t="n">
        <v>0.125</v>
      </c>
      <c r="G115" s="8" t="n">
        <v>0.125</v>
      </c>
      <c r="H115" s="8" t="n">
        <v>0.2</v>
      </c>
      <c r="I115" s="8" t="n">
        <v>0.142857142857143</v>
      </c>
      <c r="J115" s="8" t="n">
        <v>0</v>
      </c>
      <c r="K115" s="8" t="n">
        <v>0</v>
      </c>
      <c r="L115" s="8" t="n">
        <v>0.25</v>
      </c>
      <c r="M115" s="9" t="n">
        <f aca="false">IF(COUNT(G115:L115)=6,AVERAGE(G115:L115),"")</f>
        <v>0.119642857142857</v>
      </c>
      <c r="N115" s="10" t="s">
        <v>49</v>
      </c>
      <c r="O115" s="10" t="n">
        <f aca="false">IF(F115="","",COUNTIFS($A$2:$A$234,A115,$F$2:$F$234,"&gt;"&amp;F115)+1)</f>
        <v>19</v>
      </c>
      <c r="P115" s="11" t="str">
        <f aca="false">A115&amp;"|"&amp;O115</f>
        <v>FedYogi|19</v>
      </c>
    </row>
    <row r="116" customFormat="false" ht="15" hidden="false" customHeight="false" outlineLevel="0" collapsed="false">
      <c r="A116" s="6" t="s">
        <v>41</v>
      </c>
      <c r="B116" s="7" t="n">
        <v>0.1</v>
      </c>
      <c r="C116" s="7" t="n">
        <v>0.1</v>
      </c>
      <c r="D116" s="7"/>
      <c r="E116" s="6"/>
      <c r="F116" s="8" t="n">
        <v>0.125</v>
      </c>
      <c r="G116" s="8" t="n">
        <v>0.125</v>
      </c>
      <c r="H116" s="8" t="n">
        <v>0.2</v>
      </c>
      <c r="I116" s="8" t="n">
        <v>0.142857142857143</v>
      </c>
      <c r="J116" s="8" t="n">
        <v>0.142857142857143</v>
      </c>
      <c r="K116" s="8" t="n">
        <v>0.333333333333333</v>
      </c>
      <c r="L116" s="8" t="n">
        <v>0.25</v>
      </c>
      <c r="M116" s="9" t="n">
        <f aca="false">IF(COUNT(G116:L116)=6,AVERAGE(G116:L116),"")</f>
        <v>0.199007936507936</v>
      </c>
      <c r="N116" s="10" t="s">
        <v>49</v>
      </c>
      <c r="O116" s="10" t="n">
        <f aca="false">IF(F116="","",COUNTIFS($A$2:$A$234,A116,$F$2:$F$234,"&gt;"&amp;F116)+1)</f>
        <v>19</v>
      </c>
      <c r="P116" s="11" t="str">
        <f aca="false">A116&amp;"|"&amp;O116</f>
        <v>FedYogi|19</v>
      </c>
    </row>
    <row r="117" customFormat="false" ht="15" hidden="false" customHeight="false" outlineLevel="0" collapsed="false">
      <c r="A117" s="6" t="s">
        <v>41</v>
      </c>
      <c r="B117" s="7" t="n">
        <v>0.1</v>
      </c>
      <c r="C117" s="7" t="n">
        <v>0.316227766016838</v>
      </c>
      <c r="D117" s="7"/>
      <c r="E117" s="6"/>
      <c r="F117" s="8" t="n">
        <v>0.125</v>
      </c>
      <c r="G117" s="8" t="n">
        <v>0.125</v>
      </c>
      <c r="H117" s="8" t="n">
        <v>0</v>
      </c>
      <c r="I117" s="8" t="n">
        <v>0.142857142857143</v>
      </c>
      <c r="J117" s="8" t="n">
        <v>0.142857142857143</v>
      </c>
      <c r="K117" s="8" t="n">
        <v>0</v>
      </c>
      <c r="L117" s="8" t="n">
        <v>0</v>
      </c>
      <c r="M117" s="9" t="n">
        <f aca="false">IF(COUNT(G117:L117)=6,AVERAGE(G117:L117),"")</f>
        <v>0.0684523809523809</v>
      </c>
      <c r="N117" s="10" t="s">
        <v>49</v>
      </c>
      <c r="O117" s="10" t="n">
        <f aca="false">IF(F117="","",COUNTIFS($A$2:$A$234,A117,$F$2:$F$234,"&gt;"&amp;F117)+1)</f>
        <v>19</v>
      </c>
      <c r="P117" s="11" t="str">
        <f aca="false">A117&amp;"|"&amp;O117</f>
        <v>FedYogi|19</v>
      </c>
    </row>
    <row r="118" customFormat="false" ht="15" hidden="false" customHeight="false" outlineLevel="0" collapsed="false">
      <c r="A118" s="12" t="s">
        <v>41</v>
      </c>
      <c r="B118" s="13" t="n">
        <v>0.1</v>
      </c>
      <c r="C118" s="13" t="n">
        <v>1</v>
      </c>
      <c r="D118" s="13"/>
      <c r="E118" s="12"/>
      <c r="F118" s="14"/>
      <c r="G118" s="14"/>
      <c r="H118" s="14"/>
      <c r="I118" s="14"/>
      <c r="J118" s="14"/>
      <c r="K118" s="14"/>
      <c r="L118" s="14"/>
      <c r="M118" s="15" t="str">
        <f aca="false">IF(COUNT(G118:L118)=6,AVERAGE(G118:L118),"")</f>
        <v/>
      </c>
      <c r="N118" s="16" t="s">
        <v>50</v>
      </c>
      <c r="O118" s="16" t="str">
        <f aca="false">IF(F118="","",COUNTIFS($A$2:$A$234,A118,$F$2:$F$234,"&gt;"&amp;F118)+1)</f>
        <v/>
      </c>
      <c r="P118" s="17" t="str">
        <f aca="false">A118&amp;"|"&amp;O118</f>
        <v>FedYogi|</v>
      </c>
    </row>
    <row r="119" customFormat="false" ht="15" hidden="false" customHeight="false" outlineLevel="0" collapsed="false">
      <c r="A119" s="12" t="s">
        <v>41</v>
      </c>
      <c r="B119" s="13" t="n">
        <v>0.1</v>
      </c>
      <c r="C119" s="13" t="n">
        <v>10</v>
      </c>
      <c r="D119" s="13"/>
      <c r="E119" s="12"/>
      <c r="F119" s="14"/>
      <c r="G119" s="14"/>
      <c r="H119" s="14"/>
      <c r="I119" s="14"/>
      <c r="J119" s="14"/>
      <c r="K119" s="14"/>
      <c r="L119" s="14"/>
      <c r="M119" s="15" t="str">
        <f aca="false">IF(COUNT(G119:L119)=6,AVERAGE(G119:L119),"")</f>
        <v/>
      </c>
      <c r="N119" s="16" t="s">
        <v>50</v>
      </c>
      <c r="O119" s="16" t="str">
        <f aca="false">IF(F119="","",COUNTIFS($A$2:$A$234,A119,$F$2:$F$234,"&gt;"&amp;F119)+1)</f>
        <v/>
      </c>
      <c r="P119" s="17" t="str">
        <f aca="false">A119&amp;"|"&amp;O119</f>
        <v>FedYogi|</v>
      </c>
    </row>
    <row r="120" customFormat="false" ht="15" hidden="false" customHeight="false" outlineLevel="0" collapsed="false">
      <c r="A120" s="6" t="s">
        <v>41</v>
      </c>
      <c r="B120" s="7" t="n">
        <v>0.316227766016838</v>
      </c>
      <c r="C120" s="7" t="n">
        <v>0.001</v>
      </c>
      <c r="D120" s="7"/>
      <c r="E120" s="6"/>
      <c r="F120" s="8" t="n">
        <v>0.125</v>
      </c>
      <c r="G120" s="8" t="n">
        <v>0.125</v>
      </c>
      <c r="H120" s="8" t="n">
        <v>0.2</v>
      </c>
      <c r="I120" s="8" t="n">
        <v>0.142857142857143</v>
      </c>
      <c r="J120" s="8" t="n">
        <v>0.142857142857143</v>
      </c>
      <c r="K120" s="8" t="n">
        <v>0.333333333333333</v>
      </c>
      <c r="L120" s="8" t="n">
        <v>0.25</v>
      </c>
      <c r="M120" s="9" t="n">
        <f aca="false">IF(COUNT(G120:L120)=6,AVERAGE(G120:L120),"")</f>
        <v>0.199007936507936</v>
      </c>
      <c r="N120" s="10" t="s">
        <v>49</v>
      </c>
      <c r="O120" s="10" t="n">
        <f aca="false">IF(F120="","",COUNTIFS($A$2:$A$234,A120,$F$2:$F$234,"&gt;"&amp;F120)+1)</f>
        <v>19</v>
      </c>
      <c r="P120" s="11" t="str">
        <f aca="false">A120&amp;"|"&amp;O120</f>
        <v>FedYogi|19</v>
      </c>
    </row>
    <row r="121" customFormat="false" ht="15" hidden="false" customHeight="false" outlineLevel="0" collapsed="false">
      <c r="A121" s="6" t="s">
        <v>41</v>
      </c>
      <c r="B121" s="7" t="n">
        <v>0.316227766016838</v>
      </c>
      <c r="C121" s="7" t="n">
        <v>0.0031622776601683</v>
      </c>
      <c r="D121" s="7"/>
      <c r="E121" s="6"/>
      <c r="F121" s="8" t="n">
        <v>0.125</v>
      </c>
      <c r="G121" s="8" t="n">
        <v>0.125</v>
      </c>
      <c r="H121" s="8" t="n">
        <v>0.2</v>
      </c>
      <c r="I121" s="8" t="n">
        <v>0.142857142857143</v>
      </c>
      <c r="J121" s="8" t="n">
        <v>0.142857142857143</v>
      </c>
      <c r="K121" s="8" t="n">
        <v>0.333333333333333</v>
      </c>
      <c r="L121" s="8" t="n">
        <v>0.25</v>
      </c>
      <c r="M121" s="9" t="n">
        <f aca="false">IF(COUNT(G121:L121)=6,AVERAGE(G121:L121),"")</f>
        <v>0.199007936507936</v>
      </c>
      <c r="N121" s="10" t="s">
        <v>49</v>
      </c>
      <c r="O121" s="10" t="n">
        <f aca="false">IF(F121="","",COUNTIFS($A$2:$A$234,A121,$F$2:$F$234,"&gt;"&amp;F121)+1)</f>
        <v>19</v>
      </c>
      <c r="P121" s="11" t="str">
        <f aca="false">A121&amp;"|"&amp;O121</f>
        <v>FedYogi|19</v>
      </c>
    </row>
    <row r="122" customFormat="false" ht="15" hidden="false" customHeight="false" outlineLevel="0" collapsed="false">
      <c r="A122" s="6" t="s">
        <v>41</v>
      </c>
      <c r="B122" s="7" t="n">
        <v>0.316227766016838</v>
      </c>
      <c r="C122" s="7" t="n">
        <v>0.01</v>
      </c>
      <c r="D122" s="7"/>
      <c r="E122" s="6"/>
      <c r="F122" s="8" t="n">
        <v>0.125</v>
      </c>
      <c r="G122" s="8" t="n">
        <v>0.125</v>
      </c>
      <c r="H122" s="8" t="n">
        <v>0.2</v>
      </c>
      <c r="I122" s="8" t="n">
        <v>0.142857142857143</v>
      </c>
      <c r="J122" s="8" t="n">
        <v>0.142857142857143</v>
      </c>
      <c r="K122" s="8" t="n">
        <v>0</v>
      </c>
      <c r="L122" s="8" t="n">
        <v>0</v>
      </c>
      <c r="M122" s="9" t="n">
        <f aca="false">IF(COUNT(G122:L122)=6,AVERAGE(G122:L122),"")</f>
        <v>0.101785714285714</v>
      </c>
      <c r="N122" s="10" t="s">
        <v>49</v>
      </c>
      <c r="O122" s="10" t="n">
        <f aca="false">IF(F122="","",COUNTIFS($A$2:$A$234,A122,$F$2:$F$234,"&gt;"&amp;F122)+1)</f>
        <v>19</v>
      </c>
      <c r="P122" s="11" t="str">
        <f aca="false">A122&amp;"|"&amp;O122</f>
        <v>FedYogi|19</v>
      </c>
    </row>
    <row r="123" customFormat="false" ht="15" hidden="false" customHeight="false" outlineLevel="0" collapsed="false">
      <c r="A123" s="6" t="s">
        <v>41</v>
      </c>
      <c r="B123" s="7" t="n">
        <v>0.316227766016838</v>
      </c>
      <c r="C123" s="7" t="n">
        <v>0.0316227766016837</v>
      </c>
      <c r="D123" s="7"/>
      <c r="E123" s="6"/>
      <c r="F123" s="8" t="n">
        <v>0.125</v>
      </c>
      <c r="G123" s="8" t="n">
        <v>0.125</v>
      </c>
      <c r="H123" s="8" t="n">
        <v>0.2</v>
      </c>
      <c r="I123" s="8" t="n">
        <v>0.142857142857143</v>
      </c>
      <c r="J123" s="8" t="n">
        <v>0.142857142857143</v>
      </c>
      <c r="K123" s="8" t="n">
        <v>0.333333333333333</v>
      </c>
      <c r="L123" s="8" t="n">
        <v>0.25</v>
      </c>
      <c r="M123" s="9" t="n">
        <f aca="false">IF(COUNT(G123:L123)=6,AVERAGE(G123:L123),"")</f>
        <v>0.199007936507936</v>
      </c>
      <c r="N123" s="10" t="s">
        <v>49</v>
      </c>
      <c r="O123" s="10" t="n">
        <f aca="false">IF(F123="","",COUNTIFS($A$2:$A$234,A123,$F$2:$F$234,"&gt;"&amp;F123)+1)</f>
        <v>19</v>
      </c>
      <c r="P123" s="11" t="str">
        <f aca="false">A123&amp;"|"&amp;O123</f>
        <v>FedYogi|19</v>
      </c>
    </row>
    <row r="124" customFormat="false" ht="15" hidden="false" customHeight="false" outlineLevel="0" collapsed="false">
      <c r="A124" s="6" t="s">
        <v>41</v>
      </c>
      <c r="B124" s="7" t="n">
        <v>0.316227766016838</v>
      </c>
      <c r="C124" s="7" t="n">
        <v>0.1</v>
      </c>
      <c r="D124" s="7"/>
      <c r="E124" s="6"/>
      <c r="F124" s="8" t="n">
        <v>0.131955726168072</v>
      </c>
      <c r="G124" s="8" t="n">
        <v>0.13374024515939</v>
      </c>
      <c r="H124" s="8" t="n">
        <v>0.2</v>
      </c>
      <c r="I124" s="8" t="n">
        <v>0.152496519843459</v>
      </c>
      <c r="J124" s="8" t="n">
        <v>0.14027753068849</v>
      </c>
      <c r="K124" s="8" t="n">
        <v>0.27891156462585</v>
      </c>
      <c r="L124" s="8" t="n">
        <v>0.25</v>
      </c>
      <c r="M124" s="9" t="n">
        <f aca="false">IF(COUNT(G124:L124)=6,AVERAGE(G124:L124),"")</f>
        <v>0.192570976719532</v>
      </c>
      <c r="N124" s="10" t="s">
        <v>49</v>
      </c>
      <c r="O124" s="10" t="n">
        <f aca="false">IF(F124="","",COUNTIFS($A$2:$A$234,A124,$F$2:$F$234,"&gt;"&amp;F124)+1)</f>
        <v>17</v>
      </c>
      <c r="P124" s="11" t="str">
        <f aca="false">A124&amp;"|"&amp;O124</f>
        <v>FedYogi|17</v>
      </c>
    </row>
    <row r="125" customFormat="false" ht="15" hidden="false" customHeight="false" outlineLevel="0" collapsed="false">
      <c r="A125" s="6" t="s">
        <v>41</v>
      </c>
      <c r="B125" s="7" t="n">
        <v>0.316227766016838</v>
      </c>
      <c r="C125" s="7" t="n">
        <v>0.316227766016838</v>
      </c>
      <c r="D125" s="7"/>
      <c r="E125" s="6"/>
      <c r="F125" s="8" t="n">
        <v>0.125</v>
      </c>
      <c r="G125" s="8" t="n">
        <v>0.125</v>
      </c>
      <c r="H125" s="8" t="n">
        <v>0</v>
      </c>
      <c r="I125" s="8" t="n">
        <v>0.142857142857143</v>
      </c>
      <c r="J125" s="8" t="n">
        <v>0.142857142857143</v>
      </c>
      <c r="K125" s="8" t="n">
        <v>0</v>
      </c>
      <c r="L125" s="8" t="n">
        <v>0</v>
      </c>
      <c r="M125" s="9" t="n">
        <f aca="false">IF(COUNT(G125:L125)=6,AVERAGE(G125:L125),"")</f>
        <v>0.0684523809523809</v>
      </c>
      <c r="N125" s="10" t="s">
        <v>49</v>
      </c>
      <c r="O125" s="10" t="n">
        <f aca="false">IF(F125="","",COUNTIFS($A$2:$A$234,A125,$F$2:$F$234,"&gt;"&amp;F125)+1)</f>
        <v>19</v>
      </c>
      <c r="P125" s="11" t="str">
        <f aca="false">A125&amp;"|"&amp;O125</f>
        <v>FedYogi|19</v>
      </c>
    </row>
    <row r="126" customFormat="false" ht="15" hidden="false" customHeight="false" outlineLevel="0" collapsed="false">
      <c r="A126" s="12" t="s">
        <v>41</v>
      </c>
      <c r="B126" s="13" t="n">
        <v>0.316227766016838</v>
      </c>
      <c r="C126" s="13" t="n">
        <v>1</v>
      </c>
      <c r="D126" s="13"/>
      <c r="E126" s="12"/>
      <c r="F126" s="14"/>
      <c r="G126" s="14"/>
      <c r="H126" s="14"/>
      <c r="I126" s="14"/>
      <c r="J126" s="14"/>
      <c r="K126" s="14"/>
      <c r="L126" s="14"/>
      <c r="M126" s="15" t="str">
        <f aca="false">IF(COUNT(G126:L126)=6,AVERAGE(G126:L126),"")</f>
        <v/>
      </c>
      <c r="N126" s="16" t="s">
        <v>50</v>
      </c>
      <c r="O126" s="16" t="str">
        <f aca="false">IF(F126="","",COUNTIFS($A$2:$A$234,A126,$F$2:$F$234,"&gt;"&amp;F126)+1)</f>
        <v/>
      </c>
      <c r="P126" s="17" t="str">
        <f aca="false">A126&amp;"|"&amp;O126</f>
        <v>FedYogi|</v>
      </c>
    </row>
    <row r="127" customFormat="false" ht="15" hidden="false" customHeight="false" outlineLevel="0" collapsed="false">
      <c r="A127" s="12" t="s">
        <v>41</v>
      </c>
      <c r="B127" s="13" t="n">
        <v>0.316227766016838</v>
      </c>
      <c r="C127" s="13" t="n">
        <v>10</v>
      </c>
      <c r="D127" s="13"/>
      <c r="E127" s="12"/>
      <c r="F127" s="14"/>
      <c r="G127" s="14"/>
      <c r="H127" s="14"/>
      <c r="I127" s="14"/>
      <c r="J127" s="14"/>
      <c r="K127" s="14"/>
      <c r="L127" s="14"/>
      <c r="M127" s="15" t="str">
        <f aca="false">IF(COUNT(G127:L127)=6,AVERAGE(G127:L127),"")</f>
        <v/>
      </c>
      <c r="N127" s="16" t="s">
        <v>50</v>
      </c>
      <c r="O127" s="16" t="str">
        <f aca="false">IF(F127="","",COUNTIFS($A$2:$A$234,A127,$F$2:$F$234,"&gt;"&amp;F127)+1)</f>
        <v/>
      </c>
      <c r="P127" s="17" t="str">
        <f aca="false">A127&amp;"|"&amp;O127</f>
        <v>FedYogi|</v>
      </c>
    </row>
    <row r="128" customFormat="false" ht="15" hidden="false" customHeight="false" outlineLevel="0" collapsed="false">
      <c r="A128" s="6" t="s">
        <v>42</v>
      </c>
      <c r="B128" s="7" t="n">
        <v>0.001</v>
      </c>
      <c r="C128" s="7" t="n">
        <v>0.001</v>
      </c>
      <c r="D128" s="7"/>
      <c r="E128" s="6"/>
      <c r="F128" s="8" t="n">
        <v>0.257235149465898</v>
      </c>
      <c r="G128" s="8" t="n">
        <v>0.256236193508468</v>
      </c>
      <c r="H128" s="8" t="n">
        <v>0.426771561024589</v>
      </c>
      <c r="I128" s="8" t="n">
        <v>0.251335469905771</v>
      </c>
      <c r="J128" s="8" t="n">
        <v>0.213549529400801</v>
      </c>
      <c r="K128" s="8" t="n">
        <v>0.267779839208411</v>
      </c>
      <c r="L128" s="8" t="n">
        <v>0.176051051051051</v>
      </c>
      <c r="M128" s="9" t="n">
        <f aca="false">IF(COUNT(G128:L128)=6,AVERAGE(G128:L128),"")</f>
        <v>0.265287274016515</v>
      </c>
      <c r="N128" s="10" t="s">
        <v>49</v>
      </c>
      <c r="O128" s="10" t="n">
        <f aca="false">IF(F128="","",COUNTIFS($A$2:$A$234,A128,$F$2:$F$234,"&gt;"&amp;F128)+1)</f>
        <v>15</v>
      </c>
      <c r="P128" s="11" t="str">
        <f aca="false">A128&amp;"|"&amp;O128</f>
        <v>FedAdagrad|15</v>
      </c>
    </row>
    <row r="129" customFormat="false" ht="15" hidden="false" customHeight="false" outlineLevel="0" collapsed="false">
      <c r="A129" s="6" t="s">
        <v>42</v>
      </c>
      <c r="B129" s="7" t="n">
        <v>0.001</v>
      </c>
      <c r="C129" s="7" t="n">
        <v>0.0031622776601683</v>
      </c>
      <c r="D129" s="7"/>
      <c r="E129" s="6"/>
      <c r="F129" s="8" t="n">
        <v>0.422629166751841</v>
      </c>
      <c r="G129" s="8" t="n">
        <v>0.393557061221351</v>
      </c>
      <c r="H129" s="8" t="n">
        <v>0.601586233416651</v>
      </c>
      <c r="I129" s="8" t="n">
        <v>0.476952540069154</v>
      </c>
      <c r="J129" s="8" t="n">
        <v>0.407422365773425</v>
      </c>
      <c r="K129" s="8" t="n">
        <v>0.316120387548959</v>
      </c>
      <c r="L129" s="8" t="n">
        <v>0.651276276276276</v>
      </c>
      <c r="M129" s="9" t="n">
        <f aca="false">IF(COUNT(G129:L129)=6,AVERAGE(G129:L129),"")</f>
        <v>0.474485810717636</v>
      </c>
      <c r="N129" s="10" t="s">
        <v>49</v>
      </c>
      <c r="O129" s="10" t="n">
        <f aca="false">IF(F129="","",COUNTIFS($A$2:$A$234,A129,$F$2:$F$234,"&gt;"&amp;F129)+1)</f>
        <v>12</v>
      </c>
      <c r="P129" s="11" t="str">
        <f aca="false">A129&amp;"|"&amp;O129</f>
        <v>FedAdagrad|12</v>
      </c>
    </row>
    <row r="130" customFormat="false" ht="15" hidden="false" customHeight="false" outlineLevel="0" collapsed="false">
      <c r="A130" s="6" t="s">
        <v>42</v>
      </c>
      <c r="B130" s="7" t="n">
        <v>0.001</v>
      </c>
      <c r="C130" s="7" t="n">
        <v>0.01</v>
      </c>
      <c r="D130" s="7"/>
      <c r="E130" s="6"/>
      <c r="F130" s="8" t="n">
        <v>0.493975336495495</v>
      </c>
      <c r="G130" s="8" t="n">
        <v>0.503635794654943</v>
      </c>
      <c r="H130" s="8" t="n">
        <v>0.636204576043069</v>
      </c>
      <c r="I130" s="8" t="n">
        <v>0.626263262228422</v>
      </c>
      <c r="J130" s="8" t="n">
        <v>0.430045179585722</v>
      </c>
      <c r="K130" s="8" t="n">
        <v>0.342712842712843</v>
      </c>
      <c r="L130" s="8" t="n">
        <v>0.607357357357357</v>
      </c>
      <c r="M130" s="9" t="n">
        <f aca="false">IF(COUNT(G130:L130)=6,AVERAGE(G130:L130),"")</f>
        <v>0.524369835430393</v>
      </c>
      <c r="N130" s="10" t="s">
        <v>49</v>
      </c>
      <c r="O130" s="10" t="n">
        <f aca="false">IF(F130="","",COUNTIFS($A$2:$A$234,A130,$F$2:$F$234,"&gt;"&amp;F130)+1)</f>
        <v>9</v>
      </c>
      <c r="P130" s="11" t="str">
        <f aca="false">A130&amp;"|"&amp;O130</f>
        <v>FedAdagrad|9</v>
      </c>
    </row>
    <row r="131" customFormat="false" ht="15" hidden="false" customHeight="false" outlineLevel="0" collapsed="false">
      <c r="A131" s="6" t="s">
        <v>42</v>
      </c>
      <c r="B131" s="7" t="n">
        <v>0.001</v>
      </c>
      <c r="C131" s="7" t="n">
        <v>0.0316227766016837</v>
      </c>
      <c r="D131" s="7"/>
      <c r="E131" s="6"/>
      <c r="F131" s="8" t="n">
        <v>0.524873638362843</v>
      </c>
      <c r="G131" s="8" t="n">
        <v>0.54668196144931</v>
      </c>
      <c r="H131" s="8" t="n">
        <v>0.734531820803692</v>
      </c>
      <c r="I131" s="8" t="n">
        <v>0.529442280143458</v>
      </c>
      <c r="J131" s="8" t="n">
        <v>0.385046481638841</v>
      </c>
      <c r="K131" s="8" t="n">
        <v>0.383116883116883</v>
      </c>
      <c r="L131" s="8" t="n">
        <v>0.63795045045045</v>
      </c>
      <c r="M131" s="9" t="n">
        <f aca="false">IF(COUNT(G131:L131)=6,AVERAGE(G131:L131),"")</f>
        <v>0.536128312933772</v>
      </c>
      <c r="N131" s="10" t="s">
        <v>49</v>
      </c>
      <c r="O131" s="10" t="n">
        <f aca="false">IF(F131="","",COUNTIFS($A$2:$A$234,A131,$F$2:$F$234,"&gt;"&amp;F131)+1)</f>
        <v>5</v>
      </c>
      <c r="P131" s="11" t="str">
        <f aca="false">A131&amp;"|"&amp;O131</f>
        <v>FedAdagrad|5</v>
      </c>
    </row>
    <row r="132" customFormat="false" ht="15" hidden="false" customHeight="false" outlineLevel="0" collapsed="false">
      <c r="A132" s="6" t="s">
        <v>42</v>
      </c>
      <c r="B132" s="7" t="n">
        <v>0.001</v>
      </c>
      <c r="C132" s="7" t="n">
        <v>0.1</v>
      </c>
      <c r="D132" s="7"/>
      <c r="E132" s="6"/>
      <c r="F132" s="8" t="n">
        <v>0.50024114171973</v>
      </c>
      <c r="G132" s="8" t="n">
        <v>0.513661914925567</v>
      </c>
      <c r="H132" s="8" t="n">
        <v>0.626437223610844</v>
      </c>
      <c r="I132" s="8" t="n">
        <v>0.571089351423239</v>
      </c>
      <c r="J132" s="8" t="n">
        <v>0.414271901841033</v>
      </c>
      <c r="K132" s="8" t="n">
        <v>0.398268398268398</v>
      </c>
      <c r="L132" s="8" t="n">
        <v>0.469594594594595</v>
      </c>
      <c r="M132" s="9" t="n">
        <f aca="false">IF(COUNT(G132:L132)=6,AVERAGE(G132:L132),"")</f>
        <v>0.498887230777279</v>
      </c>
      <c r="N132" s="10" t="s">
        <v>49</v>
      </c>
      <c r="O132" s="10" t="n">
        <f aca="false">IF(F132="","",COUNTIFS($A$2:$A$234,A132,$F$2:$F$234,"&gt;"&amp;F132)+1)</f>
        <v>7</v>
      </c>
      <c r="P132" s="11" t="str">
        <f aca="false">A132&amp;"|"&amp;O132</f>
        <v>FedAdagrad|7</v>
      </c>
    </row>
    <row r="133" customFormat="false" ht="15" hidden="false" customHeight="false" outlineLevel="0" collapsed="false">
      <c r="A133" s="6" t="s">
        <v>42</v>
      </c>
      <c r="B133" s="7" t="n">
        <v>0.001</v>
      </c>
      <c r="C133" s="7" t="n">
        <v>0.316227766016838</v>
      </c>
      <c r="D133" s="7"/>
      <c r="E133" s="6"/>
      <c r="F133" s="8" t="n">
        <v>0.125</v>
      </c>
      <c r="G133" s="8" t="n">
        <v>0.125</v>
      </c>
      <c r="H133" s="8" t="n">
        <v>0.2</v>
      </c>
      <c r="I133" s="8" t="n">
        <v>0.142857142857143</v>
      </c>
      <c r="J133" s="8" t="n">
        <v>0.142857142857143</v>
      </c>
      <c r="K133" s="8" t="n">
        <v>0.333333333333333</v>
      </c>
      <c r="L133" s="8" t="n">
        <v>0.25</v>
      </c>
      <c r="M133" s="9" t="n">
        <f aca="false">IF(COUNT(G133:L133)=6,AVERAGE(G133:L133),"")</f>
        <v>0.199007936507936</v>
      </c>
      <c r="N133" s="10" t="s">
        <v>49</v>
      </c>
      <c r="O133" s="10" t="n">
        <f aca="false">IF(F133="","",COUNTIFS($A$2:$A$234,A133,$F$2:$F$234,"&gt;"&amp;F133)+1)</f>
        <v>26</v>
      </c>
      <c r="P133" s="11" t="str">
        <f aca="false">A133&amp;"|"&amp;O133</f>
        <v>FedAdagrad|26</v>
      </c>
    </row>
    <row r="134" customFormat="false" ht="15" hidden="false" customHeight="false" outlineLevel="0" collapsed="false">
      <c r="A134" s="6" t="s">
        <v>42</v>
      </c>
      <c r="B134" s="7" t="n">
        <v>0.001</v>
      </c>
      <c r="C134" s="7" t="n">
        <v>1</v>
      </c>
      <c r="D134" s="7"/>
      <c r="E134" s="6"/>
      <c r="F134" s="8" t="n">
        <v>0.17140407835592</v>
      </c>
      <c r="G134" s="8" t="n">
        <v>0.173379825568421</v>
      </c>
      <c r="H134" s="8" t="n">
        <v>0.159786579503942</v>
      </c>
      <c r="I134" s="8" t="n">
        <v>0.117945935280189</v>
      </c>
      <c r="J134" s="8" t="n">
        <v>0.196196660482375</v>
      </c>
      <c r="K134" s="8" t="n">
        <v>0.209441352298495</v>
      </c>
      <c r="L134" s="8" t="n">
        <v>0.081081081081081</v>
      </c>
      <c r="M134" s="9" t="n">
        <f aca="false">IF(COUNT(G134:L134)=6,AVERAGE(G134:L134),"")</f>
        <v>0.156305239035751</v>
      </c>
      <c r="N134" s="10" t="s">
        <v>49</v>
      </c>
      <c r="O134" s="10" t="n">
        <f aca="false">IF(F134="","",COUNTIFS($A$2:$A$234,A134,$F$2:$F$234,"&gt;"&amp;F134)+1)</f>
        <v>20</v>
      </c>
      <c r="P134" s="11" t="str">
        <f aca="false">A134&amp;"|"&amp;O134</f>
        <v>FedAdagrad|20</v>
      </c>
    </row>
    <row r="135" customFormat="false" ht="15" hidden="false" customHeight="false" outlineLevel="0" collapsed="false">
      <c r="A135" s="12" t="s">
        <v>42</v>
      </c>
      <c r="B135" s="13" t="n">
        <v>0.001</v>
      </c>
      <c r="C135" s="13" t="n">
        <v>10</v>
      </c>
      <c r="D135" s="13"/>
      <c r="E135" s="12"/>
      <c r="F135" s="14"/>
      <c r="G135" s="14"/>
      <c r="H135" s="14"/>
      <c r="I135" s="14"/>
      <c r="J135" s="14"/>
      <c r="K135" s="14"/>
      <c r="L135" s="14"/>
      <c r="M135" s="15" t="str">
        <f aca="false">IF(COUNT(G135:L135)=6,AVERAGE(G135:L135),"")</f>
        <v/>
      </c>
      <c r="N135" s="16" t="s">
        <v>50</v>
      </c>
      <c r="O135" s="16" t="str">
        <f aca="false">IF(F135="","",COUNTIFS($A$2:$A$234,A135,$F$2:$F$234,"&gt;"&amp;F135)+1)</f>
        <v/>
      </c>
      <c r="P135" s="17" t="str">
        <f aca="false">A135&amp;"|"&amp;O135</f>
        <v>FedAdagrad|</v>
      </c>
    </row>
    <row r="136" customFormat="false" ht="15" hidden="false" customHeight="false" outlineLevel="0" collapsed="false">
      <c r="A136" s="6" t="s">
        <v>42</v>
      </c>
      <c r="B136" s="7" t="n">
        <v>0.0031622776601683</v>
      </c>
      <c r="C136" s="7" t="n">
        <v>0.001</v>
      </c>
      <c r="D136" s="7"/>
      <c r="E136" s="6"/>
      <c r="F136" s="8" t="n">
        <v>0.250721588095518</v>
      </c>
      <c r="G136" s="8" t="n">
        <v>0.260148510815263</v>
      </c>
      <c r="H136" s="8" t="n">
        <v>0.307116152876584</v>
      </c>
      <c r="I136" s="8" t="n">
        <v>0.228477351888249</v>
      </c>
      <c r="J136" s="8" t="n">
        <v>0.225636191993718</v>
      </c>
      <c r="K136" s="8" t="n">
        <v>0.291486291486292</v>
      </c>
      <c r="L136" s="8" t="n">
        <v>0.335585585585586</v>
      </c>
      <c r="M136" s="9" t="n">
        <f aca="false">IF(COUNT(G136:L136)=6,AVERAGE(G136:L136),"")</f>
        <v>0.274741680774282</v>
      </c>
      <c r="N136" s="10" t="s">
        <v>49</v>
      </c>
      <c r="O136" s="10" t="n">
        <f aca="false">IF(F136="","",COUNTIFS($A$2:$A$234,A136,$F$2:$F$234,"&gt;"&amp;F136)+1)</f>
        <v>16</v>
      </c>
      <c r="P136" s="11" t="str">
        <f aca="false">A136&amp;"|"&amp;O136</f>
        <v>FedAdagrad|16</v>
      </c>
    </row>
    <row r="137" customFormat="false" ht="15" hidden="false" customHeight="false" outlineLevel="0" collapsed="false">
      <c r="A137" s="6" t="s">
        <v>42</v>
      </c>
      <c r="B137" s="7" t="n">
        <v>0.0031622776601683</v>
      </c>
      <c r="C137" s="7" t="n">
        <v>0.0031622776601683</v>
      </c>
      <c r="D137" s="7"/>
      <c r="E137" s="6"/>
      <c r="F137" s="8" t="n">
        <v>0.468247725995888</v>
      </c>
      <c r="G137" s="8" t="n">
        <v>0.448040676784229</v>
      </c>
      <c r="H137" s="8" t="n">
        <v>0.623389732743703</v>
      </c>
      <c r="I137" s="8" t="n">
        <v>0.5278346491702</v>
      </c>
      <c r="J137" s="8" t="n">
        <v>0.453380752376753</v>
      </c>
      <c r="K137" s="8" t="n">
        <v>0.366831581117295</v>
      </c>
      <c r="L137" s="8" t="n">
        <v>0.643581081081081</v>
      </c>
      <c r="M137" s="9" t="n">
        <f aca="false">IF(COUNT(G137:L137)=6,AVERAGE(G137:L137),"")</f>
        <v>0.510509745545544</v>
      </c>
      <c r="N137" s="10" t="s">
        <v>49</v>
      </c>
      <c r="O137" s="10" t="n">
        <f aca="false">IF(F137="","",COUNTIFS($A$2:$A$234,A137,$F$2:$F$234,"&gt;"&amp;F137)+1)</f>
        <v>10</v>
      </c>
      <c r="P137" s="11" t="str">
        <f aca="false">A137&amp;"|"&amp;O137</f>
        <v>FedAdagrad|10</v>
      </c>
    </row>
    <row r="138" customFormat="false" ht="15" hidden="false" customHeight="false" outlineLevel="0" collapsed="false">
      <c r="A138" s="6" t="s">
        <v>42</v>
      </c>
      <c r="B138" s="7" t="n">
        <v>0.0031622776601683</v>
      </c>
      <c r="C138" s="7" t="n">
        <v>0.01</v>
      </c>
      <c r="D138" s="7"/>
      <c r="E138" s="6"/>
      <c r="F138" s="8" t="n">
        <v>0.550332363923367</v>
      </c>
      <c r="G138" s="8" t="n">
        <v>0.560569461696178</v>
      </c>
      <c r="H138" s="8" t="n">
        <v>0.662853297442799</v>
      </c>
      <c r="I138" s="8" t="n">
        <v>0.663301655937522</v>
      </c>
      <c r="J138" s="8" t="n">
        <v>0.527608075012993</v>
      </c>
      <c r="K138" s="8" t="n">
        <v>0.378066378066378</v>
      </c>
      <c r="L138" s="8" t="n">
        <v>0.626876876876877</v>
      </c>
      <c r="M138" s="9" t="n">
        <f aca="false">IF(COUNT(G138:L138)=6,AVERAGE(G138:L138),"")</f>
        <v>0.569879290838791</v>
      </c>
      <c r="N138" s="10" t="s">
        <v>49</v>
      </c>
      <c r="O138" s="10" t="n">
        <f aca="false">IF(F138="","",COUNTIFS($A$2:$A$234,A138,$F$2:$F$234,"&gt;"&amp;F138)+1)</f>
        <v>3</v>
      </c>
      <c r="P138" s="11" t="str">
        <f aca="false">A138&amp;"|"&amp;O138</f>
        <v>FedAdagrad|3</v>
      </c>
    </row>
    <row r="139" customFormat="false" ht="15" hidden="false" customHeight="false" outlineLevel="0" collapsed="false">
      <c r="A139" s="6" t="s">
        <v>42</v>
      </c>
      <c r="B139" s="7" t="n">
        <v>0.0031622776601683</v>
      </c>
      <c r="C139" s="7" t="n">
        <v>0.0316227766016837</v>
      </c>
      <c r="D139" s="7"/>
      <c r="E139" s="6"/>
      <c r="F139" s="8" t="n">
        <v>0.561229847743839</v>
      </c>
      <c r="G139" s="8" t="n">
        <v>0.593214151257103</v>
      </c>
      <c r="H139" s="8" t="n">
        <v>0.737906171890021</v>
      </c>
      <c r="I139" s="8" t="n">
        <v>0.700512874313472</v>
      </c>
      <c r="J139" s="8" t="n">
        <v>0.36097936494431</v>
      </c>
      <c r="K139" s="8" t="n">
        <v>0.355184498041641</v>
      </c>
      <c r="L139" s="8" t="n">
        <v>0.475600600600601</v>
      </c>
      <c r="M139" s="9" t="n">
        <f aca="false">IF(COUNT(G139:L139)=6,AVERAGE(G139:L139),"")</f>
        <v>0.537232943507858</v>
      </c>
      <c r="N139" s="10" t="s">
        <v>49</v>
      </c>
      <c r="O139" s="10" t="n">
        <f aca="false">IF(F139="","",COUNTIFS($A$2:$A$234,A139,$F$2:$F$234,"&gt;"&amp;F139)+1)</f>
        <v>2</v>
      </c>
      <c r="P139" s="11" t="str">
        <f aca="false">A139&amp;"|"&amp;O139</f>
        <v>FedAdagrad|2</v>
      </c>
    </row>
    <row r="140" customFormat="false" ht="15" hidden="false" customHeight="false" outlineLevel="0" collapsed="false">
      <c r="A140" s="6" t="s">
        <v>42</v>
      </c>
      <c r="B140" s="7" t="n">
        <v>0.0031622776601683</v>
      </c>
      <c r="C140" s="7" t="n">
        <v>0.1</v>
      </c>
      <c r="D140" s="7"/>
      <c r="E140" s="6"/>
      <c r="F140" s="8" t="n">
        <v>0.508406629093318</v>
      </c>
      <c r="G140" s="8" t="n">
        <v>0.539016506808853</v>
      </c>
      <c r="H140" s="8" t="n">
        <v>0.528129205921938</v>
      </c>
      <c r="I140" s="8" t="n">
        <v>0.515556308891944</v>
      </c>
      <c r="J140" s="8" t="n">
        <v>0.451682760927209</v>
      </c>
      <c r="K140" s="8" t="n">
        <v>0.377860235003092</v>
      </c>
      <c r="L140" s="8" t="n">
        <v>0.626689189189189</v>
      </c>
      <c r="M140" s="9" t="n">
        <f aca="false">IF(COUNT(G140:L140)=6,AVERAGE(G140:L140),"")</f>
        <v>0.506489034457038</v>
      </c>
      <c r="N140" s="10" t="s">
        <v>49</v>
      </c>
      <c r="O140" s="10" t="n">
        <f aca="false">IF(F140="","",COUNTIFS($A$2:$A$234,A140,$F$2:$F$234,"&gt;"&amp;F140)+1)</f>
        <v>6</v>
      </c>
      <c r="P140" s="11" t="str">
        <f aca="false">A140&amp;"|"&amp;O140</f>
        <v>FedAdagrad|6</v>
      </c>
    </row>
    <row r="141" customFormat="false" ht="15" hidden="false" customHeight="false" outlineLevel="0" collapsed="false">
      <c r="A141" s="6" t="s">
        <v>42</v>
      </c>
      <c r="B141" s="7" t="n">
        <v>0.0031622776601683</v>
      </c>
      <c r="C141" s="7" t="n">
        <v>0.316227766016838</v>
      </c>
      <c r="D141" s="7"/>
      <c r="E141" s="6"/>
      <c r="F141" s="8" t="n">
        <v>0.153394414396245</v>
      </c>
      <c r="G141" s="8" t="n">
        <v>0.170404578515518</v>
      </c>
      <c r="H141" s="8" t="n">
        <v>0.238672050246747</v>
      </c>
      <c r="I141" s="8" t="n">
        <v>0.151407524335701</v>
      </c>
      <c r="J141" s="8" t="n">
        <v>0.104823747680891</v>
      </c>
      <c r="K141" s="8" t="n">
        <v>0.101010101010101</v>
      </c>
      <c r="L141" s="8" t="n">
        <v>0.222972972972973</v>
      </c>
      <c r="M141" s="9" t="n">
        <f aca="false">IF(COUNT(G141:L141)=6,AVERAGE(G141:L141),"")</f>
        <v>0.164881829126988</v>
      </c>
      <c r="N141" s="10" t="s">
        <v>49</v>
      </c>
      <c r="O141" s="10" t="n">
        <f aca="false">IF(F141="","",COUNTIFS($A$2:$A$234,A141,$F$2:$F$234,"&gt;"&amp;F141)+1)</f>
        <v>22</v>
      </c>
      <c r="P141" s="11" t="str">
        <f aca="false">A141&amp;"|"&amp;O141</f>
        <v>FedAdagrad|22</v>
      </c>
    </row>
    <row r="142" customFormat="false" ht="15" hidden="false" customHeight="false" outlineLevel="0" collapsed="false">
      <c r="A142" s="6" t="s">
        <v>42</v>
      </c>
      <c r="B142" s="7" t="n">
        <v>0.0031622776601683</v>
      </c>
      <c r="C142" s="7" t="n">
        <v>1</v>
      </c>
      <c r="D142" s="7"/>
      <c r="E142" s="6"/>
      <c r="F142" s="8" t="n">
        <v>0.125</v>
      </c>
      <c r="G142" s="8" t="n">
        <v>0.125</v>
      </c>
      <c r="H142" s="8" t="n">
        <v>0.2</v>
      </c>
      <c r="I142" s="8" t="n">
        <v>0.142857142857143</v>
      </c>
      <c r="J142" s="8" t="n">
        <v>0.142857142857143</v>
      </c>
      <c r="K142" s="8" t="n">
        <v>0.333333333333333</v>
      </c>
      <c r="L142" s="8" t="n">
        <v>0.25</v>
      </c>
      <c r="M142" s="9" t="n">
        <f aca="false">IF(COUNT(G142:L142)=6,AVERAGE(G142:L142),"")</f>
        <v>0.199007936507936</v>
      </c>
      <c r="N142" s="10" t="s">
        <v>49</v>
      </c>
      <c r="O142" s="10" t="n">
        <f aca="false">IF(F142="","",COUNTIFS($A$2:$A$234,A142,$F$2:$F$234,"&gt;"&amp;F142)+1)</f>
        <v>26</v>
      </c>
      <c r="P142" s="11" t="str">
        <f aca="false">A142&amp;"|"&amp;O142</f>
        <v>FedAdagrad|26</v>
      </c>
    </row>
    <row r="143" customFormat="false" ht="15" hidden="false" customHeight="false" outlineLevel="0" collapsed="false">
      <c r="A143" s="12" t="s">
        <v>42</v>
      </c>
      <c r="B143" s="13" t="n">
        <v>0.0031622776601683</v>
      </c>
      <c r="C143" s="13" t="n">
        <v>10</v>
      </c>
      <c r="D143" s="13"/>
      <c r="E143" s="12"/>
      <c r="F143" s="14"/>
      <c r="G143" s="14"/>
      <c r="H143" s="14"/>
      <c r="I143" s="14"/>
      <c r="J143" s="14"/>
      <c r="K143" s="14"/>
      <c r="L143" s="14"/>
      <c r="M143" s="15" t="str">
        <f aca="false">IF(COUNT(G143:L143)=6,AVERAGE(G143:L143),"")</f>
        <v/>
      </c>
      <c r="N143" s="16" t="s">
        <v>50</v>
      </c>
      <c r="O143" s="16" t="str">
        <f aca="false">IF(F143="","",COUNTIFS($A$2:$A$234,A143,$F$2:$F$234,"&gt;"&amp;F143)+1)</f>
        <v/>
      </c>
      <c r="P143" s="17" t="str">
        <f aca="false">A143&amp;"|"&amp;O143</f>
        <v>FedAdagrad|</v>
      </c>
    </row>
    <row r="144" customFormat="false" ht="15" hidden="false" customHeight="false" outlineLevel="0" collapsed="false">
      <c r="A144" s="6" t="s">
        <v>42</v>
      </c>
      <c r="B144" s="7" t="n">
        <v>0.01</v>
      </c>
      <c r="C144" s="7" t="n">
        <v>0.001</v>
      </c>
      <c r="D144" s="7"/>
      <c r="E144" s="6"/>
      <c r="F144" s="8" t="n">
        <v>0.20731146522452</v>
      </c>
      <c r="G144" s="8" t="n">
        <v>0.200234545730129</v>
      </c>
      <c r="H144" s="8" t="n">
        <v>0.207726078318272</v>
      </c>
      <c r="I144" s="8" t="n">
        <v>0.200939538791185</v>
      </c>
      <c r="J144" s="8" t="n">
        <v>0.213215489238632</v>
      </c>
      <c r="K144" s="8" t="n">
        <v>0.189651618223047</v>
      </c>
      <c r="L144" s="8" t="n">
        <v>0.162725225225225</v>
      </c>
      <c r="M144" s="9" t="n">
        <f aca="false">IF(COUNT(G144:L144)=6,AVERAGE(G144:L144),"")</f>
        <v>0.195748749254415</v>
      </c>
      <c r="N144" s="10" t="s">
        <v>49</v>
      </c>
      <c r="O144" s="10" t="n">
        <f aca="false">IF(F144="","",COUNTIFS($A$2:$A$234,A144,$F$2:$F$234,"&gt;"&amp;F144)+1)</f>
        <v>18</v>
      </c>
      <c r="P144" s="11" t="str">
        <f aca="false">A144&amp;"|"&amp;O144</f>
        <v>FedAdagrad|18</v>
      </c>
    </row>
    <row r="145" customFormat="false" ht="15" hidden="false" customHeight="false" outlineLevel="0" collapsed="false">
      <c r="A145" s="6" t="s">
        <v>42</v>
      </c>
      <c r="B145" s="7" t="n">
        <v>0.01</v>
      </c>
      <c r="C145" s="7" t="n">
        <v>0.0031622776601683</v>
      </c>
      <c r="D145" s="7"/>
      <c r="E145" s="6"/>
      <c r="F145" s="8" t="n">
        <v>0.433876834468212</v>
      </c>
      <c r="G145" s="8" t="n">
        <v>0.435007645405139</v>
      </c>
      <c r="H145" s="8" t="n">
        <v>0.686021918861757</v>
      </c>
      <c r="I145" s="8" t="n">
        <v>0.468279925634898</v>
      </c>
      <c r="J145" s="8" t="n">
        <v>0.292010826746639</v>
      </c>
      <c r="K145" s="8" t="n">
        <v>0.388785817357246</v>
      </c>
      <c r="L145" s="8" t="n">
        <v>0.739301801801802</v>
      </c>
      <c r="M145" s="9" t="n">
        <f aca="false">IF(COUNT(G145:L145)=6,AVERAGE(G145:L145),"")</f>
        <v>0.501567989301247</v>
      </c>
      <c r="N145" s="10" t="s">
        <v>49</v>
      </c>
      <c r="O145" s="10" t="n">
        <f aca="false">IF(F145="","",COUNTIFS($A$2:$A$234,A145,$F$2:$F$234,"&gt;"&amp;F145)+1)</f>
        <v>11</v>
      </c>
      <c r="P145" s="11" t="str">
        <f aca="false">A145&amp;"|"&amp;O145</f>
        <v>FedAdagrad|11</v>
      </c>
    </row>
    <row r="146" customFormat="false" ht="15" hidden="false" customHeight="false" outlineLevel="0" collapsed="false">
      <c r="A146" s="6" t="s">
        <v>42</v>
      </c>
      <c r="B146" s="7" t="n">
        <v>0.01</v>
      </c>
      <c r="C146" s="7" t="n">
        <v>0.01</v>
      </c>
      <c r="D146" s="7"/>
      <c r="E146" s="6"/>
      <c r="F146" s="8" t="n">
        <v>0.574557224101711</v>
      </c>
      <c r="G146" s="8" t="n">
        <v>0.590376326794579</v>
      </c>
      <c r="H146" s="8" t="n">
        <v>0.661901557392809</v>
      </c>
      <c r="I146" s="8" t="n">
        <v>0.693860457447108</v>
      </c>
      <c r="J146" s="8" t="n">
        <v>0.51343249195287</v>
      </c>
      <c r="K146" s="8" t="n">
        <v>0.386415172129458</v>
      </c>
      <c r="L146" s="8" t="n">
        <v>0.587462462462463</v>
      </c>
      <c r="M146" s="9" t="n">
        <f aca="false">IF(COUNT(G146:L146)=6,AVERAGE(G146:L146),"")</f>
        <v>0.572241411363214</v>
      </c>
      <c r="N146" s="10" t="s">
        <v>49</v>
      </c>
      <c r="O146" s="10" t="n">
        <f aca="false">IF(F146="","",COUNTIFS($A$2:$A$234,A146,$F$2:$F$234,"&gt;"&amp;F146)+1)</f>
        <v>1</v>
      </c>
      <c r="P146" s="11" t="str">
        <f aca="false">A146&amp;"|"&amp;O146</f>
        <v>FedAdagrad|1</v>
      </c>
    </row>
    <row r="147" customFormat="false" ht="15" hidden="false" customHeight="false" outlineLevel="0" collapsed="false">
      <c r="A147" s="6" t="s">
        <v>42</v>
      </c>
      <c r="B147" s="7" t="n">
        <v>0.01</v>
      </c>
      <c r="C147" s="7" t="n">
        <v>0.0316227766016837</v>
      </c>
      <c r="D147" s="7"/>
      <c r="E147" s="6"/>
      <c r="F147" s="8" t="n">
        <v>0.54252203770383</v>
      </c>
      <c r="G147" s="8" t="n">
        <v>0.578868766150043</v>
      </c>
      <c r="H147" s="8" t="n">
        <v>0.65110982930633</v>
      </c>
      <c r="I147" s="8" t="n">
        <v>0.565682392216528</v>
      </c>
      <c r="J147" s="8" t="n">
        <v>0.377657707730881</v>
      </c>
      <c r="K147" s="8" t="n">
        <v>0.42547928262214</v>
      </c>
      <c r="L147" s="8" t="n">
        <v>0.697822822822823</v>
      </c>
      <c r="M147" s="9" t="n">
        <f aca="false">IF(COUNT(G147:L147)=6,AVERAGE(G147:L147),"")</f>
        <v>0.549436800141457</v>
      </c>
      <c r="N147" s="10" t="s">
        <v>49</v>
      </c>
      <c r="O147" s="10" t="n">
        <f aca="false">IF(F147="","",COUNTIFS($A$2:$A$234,A147,$F$2:$F$234,"&gt;"&amp;F147)+1)</f>
        <v>4</v>
      </c>
      <c r="P147" s="11" t="str">
        <f aca="false">A147&amp;"|"&amp;O147</f>
        <v>FedAdagrad|4</v>
      </c>
    </row>
    <row r="148" customFormat="false" ht="15" hidden="false" customHeight="false" outlineLevel="0" collapsed="false">
      <c r="A148" s="6" t="s">
        <v>42</v>
      </c>
      <c r="B148" s="7" t="n">
        <v>0.01</v>
      </c>
      <c r="C148" s="7" t="n">
        <v>0.1</v>
      </c>
      <c r="D148" s="7"/>
      <c r="E148" s="6"/>
      <c r="F148" s="8" t="n">
        <v>0.366442762315017</v>
      </c>
      <c r="G148" s="8" t="n">
        <v>0.369005304529666</v>
      </c>
      <c r="H148" s="8" t="n">
        <v>0.539112136554936</v>
      </c>
      <c r="I148" s="8" t="n">
        <v>0.387483073718134</v>
      </c>
      <c r="J148" s="8" t="n">
        <v>0.257997644886099</v>
      </c>
      <c r="K148" s="8" t="n">
        <v>0.413729128014842</v>
      </c>
      <c r="L148" s="8" t="n">
        <v>0.388513513513514</v>
      </c>
      <c r="M148" s="9" t="n">
        <f aca="false">IF(COUNT(G148:L148)=6,AVERAGE(G148:L148),"")</f>
        <v>0.392640133536198</v>
      </c>
      <c r="N148" s="10" t="s">
        <v>49</v>
      </c>
      <c r="O148" s="10" t="n">
        <f aca="false">IF(F148="","",COUNTIFS($A$2:$A$234,A148,$F$2:$F$234,"&gt;"&amp;F148)+1)</f>
        <v>13</v>
      </c>
      <c r="P148" s="11" t="str">
        <f aca="false">A148&amp;"|"&amp;O148</f>
        <v>FedAdagrad|13</v>
      </c>
    </row>
    <row r="149" customFormat="false" ht="15" hidden="false" customHeight="false" outlineLevel="0" collapsed="false">
      <c r="A149" s="6" t="s">
        <v>42</v>
      </c>
      <c r="B149" s="7" t="n">
        <v>0.01</v>
      </c>
      <c r="C149" s="7" t="n">
        <v>0.316227766016838</v>
      </c>
      <c r="D149" s="7"/>
      <c r="E149" s="6"/>
      <c r="F149" s="8" t="n">
        <v>0.177467841878135</v>
      </c>
      <c r="G149" s="8" t="n">
        <v>0.177597717474888</v>
      </c>
      <c r="H149" s="8" t="n">
        <v>0.133503172466833</v>
      </c>
      <c r="I149" s="8" t="n">
        <v>0.170322289991221</v>
      </c>
      <c r="J149" s="8" t="n">
        <v>0.191899424776137</v>
      </c>
      <c r="K149" s="8" t="n">
        <v>0.323026180169037</v>
      </c>
      <c r="L149" s="8" t="n">
        <v>0.256756756756757</v>
      </c>
      <c r="M149" s="9" t="n">
        <f aca="false">IF(COUNT(G149:L149)=6,AVERAGE(G149:L149),"")</f>
        <v>0.208850923605812</v>
      </c>
      <c r="N149" s="10" t="s">
        <v>49</v>
      </c>
      <c r="O149" s="10" t="n">
        <f aca="false">IF(F149="","",COUNTIFS($A$2:$A$234,A149,$F$2:$F$234,"&gt;"&amp;F149)+1)</f>
        <v>19</v>
      </c>
      <c r="P149" s="11" t="str">
        <f aca="false">A149&amp;"|"&amp;O149</f>
        <v>FedAdagrad|19</v>
      </c>
    </row>
    <row r="150" customFormat="false" ht="15" hidden="false" customHeight="false" outlineLevel="0" collapsed="false">
      <c r="A150" s="6" t="s">
        <v>42</v>
      </c>
      <c r="B150" s="7" t="n">
        <v>0.01</v>
      </c>
      <c r="C150" s="7" t="n">
        <v>1</v>
      </c>
      <c r="D150" s="7"/>
      <c r="E150" s="6"/>
      <c r="F150" s="8" t="n">
        <v>0.125</v>
      </c>
      <c r="G150" s="8" t="n">
        <v>0.125</v>
      </c>
      <c r="H150" s="8" t="n">
        <v>0</v>
      </c>
      <c r="I150" s="8" t="n">
        <v>0.142857142857143</v>
      </c>
      <c r="J150" s="8" t="n">
        <v>0.142857142857143</v>
      </c>
      <c r="K150" s="8" t="n">
        <v>0</v>
      </c>
      <c r="L150" s="8" t="n">
        <v>0</v>
      </c>
      <c r="M150" s="9" t="n">
        <f aca="false">IF(COUNT(G150:L150)=6,AVERAGE(G150:L150),"")</f>
        <v>0.0684523809523809</v>
      </c>
      <c r="N150" s="10" t="s">
        <v>49</v>
      </c>
      <c r="O150" s="10" t="n">
        <f aca="false">IF(F150="","",COUNTIFS($A$2:$A$234,A150,$F$2:$F$234,"&gt;"&amp;F150)+1)</f>
        <v>26</v>
      </c>
      <c r="P150" s="11" t="str">
        <f aca="false">A150&amp;"|"&amp;O150</f>
        <v>FedAdagrad|26</v>
      </c>
    </row>
    <row r="151" customFormat="false" ht="15" hidden="false" customHeight="false" outlineLevel="0" collapsed="false">
      <c r="A151" s="12" t="s">
        <v>42</v>
      </c>
      <c r="B151" s="13" t="n">
        <v>0.01</v>
      </c>
      <c r="C151" s="13" t="n">
        <v>10</v>
      </c>
      <c r="D151" s="13"/>
      <c r="E151" s="12"/>
      <c r="F151" s="14"/>
      <c r="G151" s="14"/>
      <c r="H151" s="14"/>
      <c r="I151" s="14"/>
      <c r="J151" s="14"/>
      <c r="K151" s="14"/>
      <c r="L151" s="14"/>
      <c r="M151" s="15" t="str">
        <f aca="false">IF(COUNT(G151:L151)=6,AVERAGE(G151:L151),"")</f>
        <v/>
      </c>
      <c r="N151" s="16" t="s">
        <v>50</v>
      </c>
      <c r="O151" s="16" t="str">
        <f aca="false">IF(F151="","",COUNTIFS($A$2:$A$234,A151,$F$2:$F$234,"&gt;"&amp;F151)+1)</f>
        <v/>
      </c>
      <c r="P151" s="17" t="str">
        <f aca="false">A151&amp;"|"&amp;O151</f>
        <v>FedAdagrad|</v>
      </c>
    </row>
    <row r="152" customFormat="false" ht="15" hidden="false" customHeight="false" outlineLevel="0" collapsed="false">
      <c r="A152" s="6" t="s">
        <v>42</v>
      </c>
      <c r="B152" s="7" t="n">
        <v>0.0316227766016837</v>
      </c>
      <c r="C152" s="7" t="n">
        <v>0.001</v>
      </c>
      <c r="D152" s="7"/>
      <c r="E152" s="6"/>
      <c r="F152" s="8" t="n">
        <v>0.12588053466939</v>
      </c>
      <c r="G152" s="8" t="n">
        <v>0.123804596517116</v>
      </c>
      <c r="H152" s="8" t="n">
        <v>0.209959623149394</v>
      </c>
      <c r="I152" s="8" t="n">
        <v>0.159879690266431</v>
      </c>
      <c r="J152" s="8" t="n">
        <v>0.138165976228599</v>
      </c>
      <c r="K152" s="8" t="n">
        <v>0.334879406307978</v>
      </c>
      <c r="L152" s="8" t="n">
        <v>0.25</v>
      </c>
      <c r="M152" s="9" t="n">
        <f aca="false">IF(COUNT(G152:L152)=6,AVERAGE(G152:L152),"")</f>
        <v>0.20278154874492</v>
      </c>
      <c r="N152" s="10" t="s">
        <v>49</v>
      </c>
      <c r="O152" s="10" t="n">
        <f aca="false">IF(F152="","",COUNTIFS($A$2:$A$234,A152,$F$2:$F$234,"&gt;"&amp;F152)+1)</f>
        <v>25</v>
      </c>
      <c r="P152" s="11" t="str">
        <f aca="false">A152&amp;"|"&amp;O152</f>
        <v>FedAdagrad|25</v>
      </c>
    </row>
    <row r="153" customFormat="false" ht="15" hidden="false" customHeight="false" outlineLevel="0" collapsed="false">
      <c r="A153" s="6" t="s">
        <v>42</v>
      </c>
      <c r="B153" s="7" t="n">
        <v>0.0316227766016837</v>
      </c>
      <c r="C153" s="7" t="n">
        <v>0.0031622776601683</v>
      </c>
      <c r="D153" s="7"/>
      <c r="E153" s="6"/>
      <c r="F153" s="8" t="n">
        <v>0.156158773606843</v>
      </c>
      <c r="G153" s="8" t="n">
        <v>0.14953568928158</v>
      </c>
      <c r="H153" s="8" t="n">
        <v>0.108283663398064</v>
      </c>
      <c r="I153" s="8" t="n">
        <v>0.228524794002159</v>
      </c>
      <c r="J153" s="8" t="n">
        <v>0.123212623616776</v>
      </c>
      <c r="K153" s="8" t="n">
        <v>0.12708719851577</v>
      </c>
      <c r="L153" s="8" t="n">
        <v>0.0168918918918918</v>
      </c>
      <c r="M153" s="9" t="n">
        <f aca="false">IF(COUNT(G153:L153)=6,AVERAGE(G153:L153),"")</f>
        <v>0.125589310117707</v>
      </c>
      <c r="N153" s="10" t="s">
        <v>49</v>
      </c>
      <c r="O153" s="10" t="n">
        <f aca="false">IF(F153="","",COUNTIFS($A$2:$A$234,A153,$F$2:$F$234,"&gt;"&amp;F153)+1)</f>
        <v>21</v>
      </c>
      <c r="P153" s="11" t="str">
        <f aca="false">A153&amp;"|"&amp;O153</f>
        <v>FedAdagrad|21</v>
      </c>
    </row>
    <row r="154" customFormat="false" ht="15" hidden="false" customHeight="false" outlineLevel="0" collapsed="false">
      <c r="A154" s="6" t="s">
        <v>42</v>
      </c>
      <c r="B154" s="7" t="n">
        <v>0.0316227766016837</v>
      </c>
      <c r="C154" s="7" t="n">
        <v>0.01</v>
      </c>
      <c r="D154" s="7"/>
      <c r="E154" s="6"/>
      <c r="F154" s="8" t="n">
        <v>0.220823295082712</v>
      </c>
      <c r="G154" s="8" t="n">
        <v>0.216224384397817</v>
      </c>
      <c r="H154" s="8" t="n">
        <v>0.246522036360529</v>
      </c>
      <c r="I154" s="8" t="n">
        <v>0.288033913925362</v>
      </c>
      <c r="J154" s="8" t="n">
        <v>0.235466269457591</v>
      </c>
      <c r="K154" s="8" t="n">
        <v>0.250979179550608</v>
      </c>
      <c r="L154" s="8" t="n">
        <v>0.412162162162162</v>
      </c>
      <c r="M154" s="9" t="n">
        <f aca="false">IF(COUNT(G154:L154)=6,AVERAGE(G154:L154),"")</f>
        <v>0.274897990975678</v>
      </c>
      <c r="N154" s="10" t="s">
        <v>49</v>
      </c>
      <c r="O154" s="10" t="n">
        <f aca="false">IF(F154="","",COUNTIFS($A$2:$A$234,A154,$F$2:$F$234,"&gt;"&amp;F154)+1)</f>
        <v>17</v>
      </c>
      <c r="P154" s="11" t="str">
        <f aca="false">A154&amp;"|"&amp;O154</f>
        <v>FedAdagrad|17</v>
      </c>
    </row>
    <row r="155" customFormat="false" ht="15" hidden="false" customHeight="false" outlineLevel="0" collapsed="false">
      <c r="A155" s="6" t="s">
        <v>42</v>
      </c>
      <c r="B155" s="7" t="n">
        <v>0.0316227766016837</v>
      </c>
      <c r="C155" s="7" t="n">
        <v>0.0316227766016837</v>
      </c>
      <c r="D155" s="7"/>
      <c r="E155" s="6"/>
      <c r="F155" s="8" t="n">
        <v>0.497609102750246</v>
      </c>
      <c r="G155" s="8" t="n">
        <v>0.524735604732392</v>
      </c>
      <c r="H155" s="8" t="n">
        <v>0.571505479715439</v>
      </c>
      <c r="I155" s="8" t="n">
        <v>0.514030846403436</v>
      </c>
      <c r="J155" s="8" t="n">
        <v>0.39320656087439</v>
      </c>
      <c r="K155" s="8" t="n">
        <v>0.339002267573696</v>
      </c>
      <c r="L155" s="8" t="n">
        <v>0.62012012012012</v>
      </c>
      <c r="M155" s="9" t="n">
        <f aca="false">IF(COUNT(G155:L155)=6,AVERAGE(G155:L155),"")</f>
        <v>0.493766813236579</v>
      </c>
      <c r="N155" s="10" t="s">
        <v>49</v>
      </c>
      <c r="O155" s="10" t="n">
        <f aca="false">IF(F155="","",COUNTIFS($A$2:$A$234,A155,$F$2:$F$234,"&gt;"&amp;F155)+1)</f>
        <v>8</v>
      </c>
      <c r="P155" s="11" t="str">
        <f aca="false">A155&amp;"|"&amp;O155</f>
        <v>FedAdagrad|8</v>
      </c>
    </row>
    <row r="156" customFormat="false" ht="15" hidden="false" customHeight="false" outlineLevel="0" collapsed="false">
      <c r="A156" s="6" t="s">
        <v>42</v>
      </c>
      <c r="B156" s="7" t="n">
        <v>0.0316227766016837</v>
      </c>
      <c r="C156" s="7" t="n">
        <v>0.1</v>
      </c>
      <c r="D156" s="7"/>
      <c r="E156" s="6"/>
      <c r="F156" s="8" t="n">
        <v>0.296757962012076</v>
      </c>
      <c r="G156" s="8" t="n">
        <v>0.342974185889363</v>
      </c>
      <c r="H156" s="8" t="n">
        <v>0.327475485483561</v>
      </c>
      <c r="I156" s="8" t="n">
        <v>0.399356266682064</v>
      </c>
      <c r="J156" s="8" t="n">
        <v>0.290720578664082</v>
      </c>
      <c r="K156" s="8" t="n">
        <v>0.307256235827664</v>
      </c>
      <c r="L156" s="8" t="n">
        <v>0.253378378378378</v>
      </c>
      <c r="M156" s="9" t="n">
        <f aca="false">IF(COUNT(G156:L156)=6,AVERAGE(G156:L156),"")</f>
        <v>0.320193521820852</v>
      </c>
      <c r="N156" s="10" t="s">
        <v>49</v>
      </c>
      <c r="O156" s="10" t="n">
        <f aca="false">IF(F156="","",COUNTIFS($A$2:$A$234,A156,$F$2:$F$234,"&gt;"&amp;F156)+1)</f>
        <v>14</v>
      </c>
      <c r="P156" s="11" t="str">
        <f aca="false">A156&amp;"|"&amp;O156</f>
        <v>FedAdagrad|14</v>
      </c>
    </row>
    <row r="157" customFormat="false" ht="15" hidden="false" customHeight="false" outlineLevel="0" collapsed="false">
      <c r="A157" s="6" t="s">
        <v>42</v>
      </c>
      <c r="B157" s="7" t="n">
        <v>0.0316227766016837</v>
      </c>
      <c r="C157" s="7" t="n">
        <v>0.316227766016838</v>
      </c>
      <c r="D157" s="7"/>
      <c r="E157" s="6"/>
      <c r="F157" s="8" t="n">
        <v>0.109180414149402</v>
      </c>
      <c r="G157" s="8" t="n">
        <v>0.109543302280335</v>
      </c>
      <c r="H157" s="8" t="n">
        <v>0.0946837146702557</v>
      </c>
      <c r="I157" s="8" t="n">
        <v>0.130696003736933</v>
      </c>
      <c r="J157" s="8" t="n">
        <v>0.143475572047001</v>
      </c>
      <c r="K157" s="8" t="n">
        <v>0.322613894042466</v>
      </c>
      <c r="L157" s="8" t="n">
        <v>0.277027027027027</v>
      </c>
      <c r="M157" s="9" t="n">
        <f aca="false">IF(COUNT(G157:L157)=6,AVERAGE(G157:L157),"")</f>
        <v>0.179673252300669</v>
      </c>
      <c r="N157" s="10" t="s">
        <v>49</v>
      </c>
      <c r="O157" s="10" t="n">
        <f aca="false">IF(F157="","",COUNTIFS($A$2:$A$234,A157,$F$2:$F$234,"&gt;"&amp;F157)+1)</f>
        <v>42</v>
      </c>
      <c r="P157" s="11" t="str">
        <f aca="false">A157&amp;"|"&amp;O157</f>
        <v>FedAdagrad|42</v>
      </c>
    </row>
    <row r="158" customFormat="false" ht="15" hidden="false" customHeight="false" outlineLevel="0" collapsed="false">
      <c r="A158" s="6" t="s">
        <v>42</v>
      </c>
      <c r="B158" s="7" t="n">
        <v>0.0316227766016837</v>
      </c>
      <c r="C158" s="7" t="n">
        <v>1</v>
      </c>
      <c r="D158" s="7"/>
      <c r="E158" s="6"/>
      <c r="F158" s="8" t="n">
        <v>0.133511069661828</v>
      </c>
      <c r="G158" s="8" t="n">
        <v>0.150883089495189</v>
      </c>
      <c r="H158" s="8" t="n">
        <v>0.219919246298789</v>
      </c>
      <c r="I158" s="8" t="n">
        <v>0.114587070388175</v>
      </c>
      <c r="J158" s="8" t="n">
        <v>0.153617810760668</v>
      </c>
      <c r="K158" s="8" t="n">
        <v>0.0909090909090909</v>
      </c>
      <c r="L158" s="8" t="n">
        <v>0.0743243243243243</v>
      </c>
      <c r="M158" s="9" t="n">
        <f aca="false">IF(COUNT(G158:L158)=6,AVERAGE(G158:L158),"")</f>
        <v>0.134040105362706</v>
      </c>
      <c r="N158" s="10" t="s">
        <v>49</v>
      </c>
      <c r="O158" s="10" t="n">
        <f aca="false">IF(F158="","",COUNTIFS($A$2:$A$234,A158,$F$2:$F$234,"&gt;"&amp;F158)+1)</f>
        <v>24</v>
      </c>
      <c r="P158" s="11" t="str">
        <f aca="false">A158&amp;"|"&amp;O158</f>
        <v>FedAdagrad|24</v>
      </c>
    </row>
    <row r="159" customFormat="false" ht="15" hidden="false" customHeight="false" outlineLevel="0" collapsed="false">
      <c r="A159" s="12" t="s">
        <v>42</v>
      </c>
      <c r="B159" s="13" t="n">
        <v>0.0316227766016837</v>
      </c>
      <c r="C159" s="13" t="n">
        <v>10</v>
      </c>
      <c r="D159" s="13"/>
      <c r="E159" s="12"/>
      <c r="F159" s="14"/>
      <c r="G159" s="14"/>
      <c r="H159" s="14"/>
      <c r="I159" s="14"/>
      <c r="J159" s="14"/>
      <c r="K159" s="14"/>
      <c r="L159" s="14"/>
      <c r="M159" s="15" t="str">
        <f aca="false">IF(COUNT(G159:L159)=6,AVERAGE(G159:L159),"")</f>
        <v/>
      </c>
      <c r="N159" s="16" t="s">
        <v>50</v>
      </c>
      <c r="O159" s="16" t="str">
        <f aca="false">IF(F159="","",COUNTIFS($A$2:$A$234,A159,$F$2:$F$234,"&gt;"&amp;F159)+1)</f>
        <v/>
      </c>
      <c r="P159" s="17" t="str">
        <f aca="false">A159&amp;"|"&amp;O159</f>
        <v>FedAdagrad|</v>
      </c>
    </row>
    <row r="160" customFormat="false" ht="15" hidden="false" customHeight="false" outlineLevel="0" collapsed="false">
      <c r="A160" s="6" t="s">
        <v>42</v>
      </c>
      <c r="B160" s="7" t="n">
        <v>0.1</v>
      </c>
      <c r="C160" s="7" t="n">
        <v>0.001</v>
      </c>
      <c r="D160" s="7"/>
      <c r="E160" s="6"/>
      <c r="F160" s="8" t="n">
        <v>0.125</v>
      </c>
      <c r="G160" s="8" t="n">
        <v>0.125</v>
      </c>
      <c r="H160" s="8" t="n">
        <v>0.2</v>
      </c>
      <c r="I160" s="8" t="n">
        <v>0.142857142857143</v>
      </c>
      <c r="J160" s="8" t="n">
        <v>0.142857142857143</v>
      </c>
      <c r="K160" s="8" t="n">
        <v>0.333333333333333</v>
      </c>
      <c r="L160" s="8" t="n">
        <v>0.25</v>
      </c>
      <c r="M160" s="9" t="n">
        <f aca="false">IF(COUNT(G160:L160)=6,AVERAGE(G160:L160),"")</f>
        <v>0.199007936507936</v>
      </c>
      <c r="N160" s="10" t="s">
        <v>49</v>
      </c>
      <c r="O160" s="10" t="n">
        <f aca="false">IF(F160="","",COUNTIFS($A$2:$A$234,A160,$F$2:$F$234,"&gt;"&amp;F160)+1)</f>
        <v>26</v>
      </c>
      <c r="P160" s="11" t="str">
        <f aca="false">A160&amp;"|"&amp;O160</f>
        <v>FedAdagrad|26</v>
      </c>
    </row>
    <row r="161" customFormat="false" ht="15" hidden="false" customHeight="false" outlineLevel="0" collapsed="false">
      <c r="A161" s="6" t="s">
        <v>42</v>
      </c>
      <c r="B161" s="7" t="n">
        <v>0.1</v>
      </c>
      <c r="C161" s="7" t="n">
        <v>0.0031622776601683</v>
      </c>
      <c r="D161" s="7"/>
      <c r="E161" s="6"/>
      <c r="F161" s="8" t="n">
        <v>0.125</v>
      </c>
      <c r="G161" s="8" t="n">
        <v>0.125</v>
      </c>
      <c r="H161" s="8" t="n">
        <v>0.2</v>
      </c>
      <c r="I161" s="8" t="n">
        <v>0.142857142857143</v>
      </c>
      <c r="J161" s="8" t="n">
        <v>0.142857142857143</v>
      </c>
      <c r="K161" s="8" t="n">
        <v>0.333333333333333</v>
      </c>
      <c r="L161" s="8" t="n">
        <v>0.25</v>
      </c>
      <c r="M161" s="9" t="n">
        <f aca="false">IF(COUNT(G161:L161)=6,AVERAGE(G161:L161),"")</f>
        <v>0.199007936507936</v>
      </c>
      <c r="N161" s="10" t="s">
        <v>49</v>
      </c>
      <c r="O161" s="10" t="n">
        <f aca="false">IF(F161="","",COUNTIFS($A$2:$A$234,A161,$F$2:$F$234,"&gt;"&amp;F161)+1)</f>
        <v>26</v>
      </c>
      <c r="P161" s="11" t="str">
        <f aca="false">A161&amp;"|"&amp;O161</f>
        <v>FedAdagrad|26</v>
      </c>
    </row>
    <row r="162" customFormat="false" ht="15" hidden="false" customHeight="false" outlineLevel="0" collapsed="false">
      <c r="A162" s="6" t="s">
        <v>42</v>
      </c>
      <c r="B162" s="7" t="n">
        <v>0.1</v>
      </c>
      <c r="C162" s="7" t="n">
        <v>0.01</v>
      </c>
      <c r="D162" s="7"/>
      <c r="E162" s="6"/>
      <c r="F162" s="8" t="n">
        <v>0.125</v>
      </c>
      <c r="G162" s="8" t="n">
        <v>0.125</v>
      </c>
      <c r="H162" s="8" t="n">
        <v>0.2</v>
      </c>
      <c r="I162" s="8" t="n">
        <v>0.142857142857143</v>
      </c>
      <c r="J162" s="8" t="n">
        <v>0.142857142857143</v>
      </c>
      <c r="K162" s="8" t="n">
        <v>0.333333333333333</v>
      </c>
      <c r="L162" s="8" t="n">
        <v>0.25</v>
      </c>
      <c r="M162" s="9" t="n">
        <f aca="false">IF(COUNT(G162:L162)=6,AVERAGE(G162:L162),"")</f>
        <v>0.199007936507936</v>
      </c>
      <c r="N162" s="10" t="s">
        <v>49</v>
      </c>
      <c r="O162" s="10" t="n">
        <f aca="false">IF(F162="","",COUNTIFS($A$2:$A$234,A162,$F$2:$F$234,"&gt;"&amp;F162)+1)</f>
        <v>26</v>
      </c>
      <c r="P162" s="11" t="str">
        <f aca="false">A162&amp;"|"&amp;O162</f>
        <v>FedAdagrad|26</v>
      </c>
    </row>
    <row r="163" customFormat="false" ht="15" hidden="false" customHeight="false" outlineLevel="0" collapsed="false">
      <c r="A163" s="6" t="s">
        <v>42</v>
      </c>
      <c r="B163" s="7" t="n">
        <v>0.1</v>
      </c>
      <c r="C163" s="7" t="n">
        <v>0.0316227766016837</v>
      </c>
      <c r="D163" s="7"/>
      <c r="E163" s="6"/>
      <c r="F163" s="8" t="n">
        <v>0.125</v>
      </c>
      <c r="G163" s="8" t="n">
        <v>0.125</v>
      </c>
      <c r="H163" s="8" t="n">
        <v>0.2</v>
      </c>
      <c r="I163" s="8" t="n">
        <v>0.142857142857143</v>
      </c>
      <c r="J163" s="8" t="n">
        <v>0.142857142857143</v>
      </c>
      <c r="K163" s="8" t="n">
        <v>0.333333333333333</v>
      </c>
      <c r="L163" s="8" t="n">
        <v>0.25</v>
      </c>
      <c r="M163" s="9" t="n">
        <f aca="false">IF(COUNT(G163:L163)=6,AVERAGE(G163:L163),"")</f>
        <v>0.199007936507936</v>
      </c>
      <c r="N163" s="10" t="s">
        <v>49</v>
      </c>
      <c r="O163" s="10" t="n">
        <f aca="false">IF(F163="","",COUNTIFS($A$2:$A$234,A163,$F$2:$F$234,"&gt;"&amp;F163)+1)</f>
        <v>26</v>
      </c>
      <c r="P163" s="11" t="str">
        <f aca="false">A163&amp;"|"&amp;O163</f>
        <v>FedAdagrad|26</v>
      </c>
    </row>
    <row r="164" customFormat="false" ht="15" hidden="false" customHeight="false" outlineLevel="0" collapsed="false">
      <c r="A164" s="6" t="s">
        <v>42</v>
      </c>
      <c r="B164" s="7" t="n">
        <v>0.1</v>
      </c>
      <c r="C164" s="7" t="n">
        <v>0.1</v>
      </c>
      <c r="D164" s="7"/>
      <c r="E164" s="6"/>
      <c r="F164" s="8" t="n">
        <v>0.123148253823328</v>
      </c>
      <c r="G164" s="8" t="n">
        <v>0.123805654058314</v>
      </c>
      <c r="H164" s="8" t="n">
        <v>0.222222222222222</v>
      </c>
      <c r="I164" s="8" t="n">
        <v>0.15986115986116</v>
      </c>
      <c r="J164" s="8" t="n">
        <v>0.103522504892368</v>
      </c>
      <c r="K164" s="8" t="n">
        <v>0</v>
      </c>
      <c r="L164" s="8" t="n">
        <v>0</v>
      </c>
      <c r="M164" s="9" t="n">
        <f aca="false">IF(COUNT(G164:L164)=6,AVERAGE(G164:L164),"")</f>
        <v>0.101568590172344</v>
      </c>
      <c r="N164" s="10" t="s">
        <v>49</v>
      </c>
      <c r="O164" s="10" t="n">
        <f aca="false">IF(F164="","",COUNTIFS($A$2:$A$234,A164,$F$2:$F$234,"&gt;"&amp;F164)+1)</f>
        <v>40</v>
      </c>
      <c r="P164" s="11" t="str">
        <f aca="false">A164&amp;"|"&amp;O164</f>
        <v>FedAdagrad|40</v>
      </c>
    </row>
    <row r="165" customFormat="false" ht="15" hidden="false" customHeight="false" outlineLevel="0" collapsed="false">
      <c r="A165" s="6" t="s">
        <v>42</v>
      </c>
      <c r="B165" s="7" t="n">
        <v>0.1</v>
      </c>
      <c r="C165" s="7" t="n">
        <v>0.316227766016838</v>
      </c>
      <c r="D165" s="7"/>
      <c r="E165" s="6"/>
      <c r="F165" s="8" t="n">
        <v>0.139195300387289</v>
      </c>
      <c r="G165" s="8" t="n">
        <v>0.123912656437915</v>
      </c>
      <c r="H165" s="8" t="n">
        <v>0.153162853297443</v>
      </c>
      <c r="I165" s="8" t="n">
        <v>0.142265640799861</v>
      </c>
      <c r="J165" s="8" t="n">
        <v>0.136363636363636</v>
      </c>
      <c r="K165" s="8" t="n">
        <v>0.330962688105545</v>
      </c>
      <c r="L165" s="8" t="n">
        <v>0.200825825825826</v>
      </c>
      <c r="M165" s="9" t="n">
        <f aca="false">IF(COUNT(G165:L165)=6,AVERAGE(G165:L165),"")</f>
        <v>0.181248883471704</v>
      </c>
      <c r="N165" s="10" t="s">
        <v>49</v>
      </c>
      <c r="O165" s="10" t="n">
        <f aca="false">IF(F165="","",COUNTIFS($A$2:$A$234,A165,$F$2:$F$234,"&gt;"&amp;F165)+1)</f>
        <v>23</v>
      </c>
      <c r="P165" s="11" t="str">
        <f aca="false">A165&amp;"|"&amp;O165</f>
        <v>FedAdagrad|23</v>
      </c>
    </row>
    <row r="166" customFormat="false" ht="15" hidden="false" customHeight="false" outlineLevel="0" collapsed="false">
      <c r="A166" s="6" t="s">
        <v>42</v>
      </c>
      <c r="B166" s="7" t="n">
        <v>0.1</v>
      </c>
      <c r="C166" s="7" t="n">
        <v>1</v>
      </c>
      <c r="D166" s="7"/>
      <c r="E166" s="6"/>
      <c r="F166" s="8" t="n">
        <v>0.0981210737905026</v>
      </c>
      <c r="G166" s="8" t="n">
        <v>0.0931778443646154</v>
      </c>
      <c r="H166" s="8" t="n">
        <v>0.0021534320323014</v>
      </c>
      <c r="I166" s="8" t="n">
        <v>0.199889999409393</v>
      </c>
      <c r="J166" s="8" t="n">
        <v>0.126939313274717</v>
      </c>
      <c r="K166" s="8" t="n">
        <v>0.246237889095032</v>
      </c>
      <c r="L166" s="8" t="n">
        <v>0.0277777777777777</v>
      </c>
      <c r="M166" s="9" t="n">
        <f aca="false">IF(COUNT(G166:L166)=6,AVERAGE(G166:L166),"")</f>
        <v>0.116029375992306</v>
      </c>
      <c r="N166" s="10" t="s">
        <v>49</v>
      </c>
      <c r="O166" s="10" t="n">
        <f aca="false">IF(F166="","",COUNTIFS($A$2:$A$234,A166,$F$2:$F$234,"&gt;"&amp;F166)+1)</f>
        <v>43</v>
      </c>
      <c r="P166" s="11" t="str">
        <f aca="false">A166&amp;"|"&amp;O166</f>
        <v>FedAdagrad|43</v>
      </c>
    </row>
    <row r="167" customFormat="false" ht="15" hidden="false" customHeight="false" outlineLevel="0" collapsed="false">
      <c r="A167" s="12" t="s">
        <v>42</v>
      </c>
      <c r="B167" s="13" t="n">
        <v>0.1</v>
      </c>
      <c r="C167" s="13" t="n">
        <v>10</v>
      </c>
      <c r="D167" s="13"/>
      <c r="E167" s="12"/>
      <c r="F167" s="14"/>
      <c r="G167" s="14"/>
      <c r="H167" s="14"/>
      <c r="I167" s="14"/>
      <c r="J167" s="14"/>
      <c r="K167" s="14"/>
      <c r="L167" s="14"/>
      <c r="M167" s="15" t="str">
        <f aca="false">IF(COUNT(G167:L167)=6,AVERAGE(G167:L167),"")</f>
        <v/>
      </c>
      <c r="N167" s="16" t="s">
        <v>50</v>
      </c>
      <c r="O167" s="16" t="str">
        <f aca="false">IF(F167="","",COUNTIFS($A$2:$A$234,A167,$F$2:$F$234,"&gt;"&amp;F167)+1)</f>
        <v/>
      </c>
      <c r="P167" s="17" t="str">
        <f aca="false">A167&amp;"|"&amp;O167</f>
        <v>FedAdagrad|</v>
      </c>
    </row>
    <row r="168" customFormat="false" ht="15" hidden="false" customHeight="false" outlineLevel="0" collapsed="false">
      <c r="A168" s="6" t="s">
        <v>42</v>
      </c>
      <c r="B168" s="7" t="n">
        <v>0.316227766016838</v>
      </c>
      <c r="C168" s="7" t="n">
        <v>0.001</v>
      </c>
      <c r="D168" s="7"/>
      <c r="E168" s="6"/>
      <c r="F168" s="8" t="n">
        <v>0.125</v>
      </c>
      <c r="G168" s="8" t="n">
        <v>0.125</v>
      </c>
      <c r="H168" s="8" t="n">
        <v>0.2</v>
      </c>
      <c r="I168" s="8" t="n">
        <v>0.142857142857143</v>
      </c>
      <c r="J168" s="8" t="n">
        <v>0.142857142857143</v>
      </c>
      <c r="K168" s="8" t="n">
        <v>0.333333333333333</v>
      </c>
      <c r="L168" s="8" t="n">
        <v>0.25</v>
      </c>
      <c r="M168" s="9" t="n">
        <f aca="false">IF(COUNT(G168:L168)=6,AVERAGE(G168:L168),"")</f>
        <v>0.199007936507936</v>
      </c>
      <c r="N168" s="10" t="s">
        <v>49</v>
      </c>
      <c r="O168" s="10" t="n">
        <f aca="false">IF(F168="","",COUNTIFS($A$2:$A$234,A168,$F$2:$F$234,"&gt;"&amp;F168)+1)</f>
        <v>26</v>
      </c>
      <c r="P168" s="11" t="str">
        <f aca="false">A168&amp;"|"&amp;O168</f>
        <v>FedAdagrad|26</v>
      </c>
    </row>
    <row r="169" customFormat="false" ht="15" hidden="false" customHeight="false" outlineLevel="0" collapsed="false">
      <c r="A169" s="6" t="s">
        <v>42</v>
      </c>
      <c r="B169" s="7" t="n">
        <v>0.316227766016838</v>
      </c>
      <c r="C169" s="7" t="n">
        <v>0.0031622776601683</v>
      </c>
      <c r="D169" s="7"/>
      <c r="E169" s="6"/>
      <c r="F169" s="8" t="n">
        <v>0.125</v>
      </c>
      <c r="G169" s="8" t="n">
        <v>0.125</v>
      </c>
      <c r="H169" s="8" t="n">
        <v>0.2</v>
      </c>
      <c r="I169" s="8" t="n">
        <v>0.142857142857143</v>
      </c>
      <c r="J169" s="8" t="n">
        <v>0.142857142857143</v>
      </c>
      <c r="K169" s="8" t="n">
        <v>0.333333333333333</v>
      </c>
      <c r="L169" s="8" t="n">
        <v>0.25</v>
      </c>
      <c r="M169" s="9" t="n">
        <f aca="false">IF(COUNT(G169:L169)=6,AVERAGE(G169:L169),"")</f>
        <v>0.199007936507936</v>
      </c>
      <c r="N169" s="10" t="s">
        <v>49</v>
      </c>
      <c r="O169" s="10" t="n">
        <f aca="false">IF(F169="","",COUNTIFS($A$2:$A$234,A169,$F$2:$F$234,"&gt;"&amp;F169)+1)</f>
        <v>26</v>
      </c>
      <c r="P169" s="11" t="str">
        <f aca="false">A169&amp;"|"&amp;O169</f>
        <v>FedAdagrad|26</v>
      </c>
    </row>
    <row r="170" customFormat="false" ht="15" hidden="false" customHeight="false" outlineLevel="0" collapsed="false">
      <c r="A170" s="6" t="s">
        <v>42</v>
      </c>
      <c r="B170" s="7" t="n">
        <v>0.316227766016838</v>
      </c>
      <c r="C170" s="7" t="n">
        <v>0.01</v>
      </c>
      <c r="D170" s="7"/>
      <c r="E170" s="6"/>
      <c r="F170" s="8" t="n">
        <v>0.125</v>
      </c>
      <c r="G170" s="8" t="n">
        <v>0.125</v>
      </c>
      <c r="H170" s="8" t="n">
        <v>0.2</v>
      </c>
      <c r="I170" s="8" t="n">
        <v>0.142857142857143</v>
      </c>
      <c r="J170" s="8" t="n">
        <v>0.142857142857143</v>
      </c>
      <c r="K170" s="8" t="n">
        <v>0.333333333333333</v>
      </c>
      <c r="L170" s="8" t="n">
        <v>0.25</v>
      </c>
      <c r="M170" s="9" t="n">
        <f aca="false">IF(COUNT(G170:L170)=6,AVERAGE(G170:L170),"")</f>
        <v>0.199007936507936</v>
      </c>
      <c r="N170" s="10" t="s">
        <v>49</v>
      </c>
      <c r="O170" s="10" t="n">
        <f aca="false">IF(F170="","",COUNTIFS($A$2:$A$234,A170,$F$2:$F$234,"&gt;"&amp;F170)+1)</f>
        <v>26</v>
      </c>
      <c r="P170" s="11" t="str">
        <f aca="false">A170&amp;"|"&amp;O170</f>
        <v>FedAdagrad|26</v>
      </c>
    </row>
    <row r="171" customFormat="false" ht="15" hidden="false" customHeight="false" outlineLevel="0" collapsed="false">
      <c r="A171" s="6" t="s">
        <v>42</v>
      </c>
      <c r="B171" s="7" t="n">
        <v>0.316227766016838</v>
      </c>
      <c r="C171" s="7" t="n">
        <v>0.0316227766016837</v>
      </c>
      <c r="D171" s="7"/>
      <c r="E171" s="6"/>
      <c r="F171" s="8" t="n">
        <v>0.125</v>
      </c>
      <c r="G171" s="8" t="n">
        <v>0.125</v>
      </c>
      <c r="H171" s="8" t="n">
        <v>0.2</v>
      </c>
      <c r="I171" s="8" t="n">
        <v>0.142857142857143</v>
      </c>
      <c r="J171" s="8" t="n">
        <v>0.142857142857143</v>
      </c>
      <c r="K171" s="8" t="n">
        <v>0.333333333333333</v>
      </c>
      <c r="L171" s="8" t="n">
        <v>0.25</v>
      </c>
      <c r="M171" s="9" t="n">
        <f aca="false">IF(COUNT(G171:L171)=6,AVERAGE(G171:L171),"")</f>
        <v>0.199007936507936</v>
      </c>
      <c r="N171" s="10" t="s">
        <v>49</v>
      </c>
      <c r="O171" s="10" t="n">
        <f aca="false">IF(F171="","",COUNTIFS($A$2:$A$234,A171,$F$2:$F$234,"&gt;"&amp;F171)+1)</f>
        <v>26</v>
      </c>
      <c r="P171" s="11" t="str">
        <f aca="false">A171&amp;"|"&amp;O171</f>
        <v>FedAdagrad|26</v>
      </c>
    </row>
    <row r="172" customFormat="false" ht="15" hidden="false" customHeight="false" outlineLevel="0" collapsed="false">
      <c r="A172" s="6" t="s">
        <v>42</v>
      </c>
      <c r="B172" s="7" t="n">
        <v>0.316227766016838</v>
      </c>
      <c r="C172" s="7" t="n">
        <v>0.1</v>
      </c>
      <c r="D172" s="7"/>
      <c r="E172" s="6"/>
      <c r="F172" s="8" t="n">
        <v>0.125</v>
      </c>
      <c r="G172" s="8" t="n">
        <v>0.125</v>
      </c>
      <c r="H172" s="8" t="n">
        <v>0.2</v>
      </c>
      <c r="I172" s="8" t="n">
        <v>0.142857142857143</v>
      </c>
      <c r="J172" s="8" t="n">
        <v>0.142857142857143</v>
      </c>
      <c r="K172" s="8" t="n">
        <v>0.333333333333333</v>
      </c>
      <c r="L172" s="8" t="n">
        <v>0.25</v>
      </c>
      <c r="M172" s="9" t="n">
        <f aca="false">IF(COUNT(G172:L172)=6,AVERAGE(G172:L172),"")</f>
        <v>0.199007936507936</v>
      </c>
      <c r="N172" s="10" t="s">
        <v>49</v>
      </c>
      <c r="O172" s="10" t="n">
        <f aca="false">IF(F172="","",COUNTIFS($A$2:$A$234,A172,$F$2:$F$234,"&gt;"&amp;F172)+1)</f>
        <v>26</v>
      </c>
      <c r="P172" s="11" t="str">
        <f aca="false">A172&amp;"|"&amp;O172</f>
        <v>FedAdagrad|26</v>
      </c>
    </row>
    <row r="173" customFormat="false" ht="15" hidden="false" customHeight="false" outlineLevel="0" collapsed="false">
      <c r="A173" s="6" t="s">
        <v>42</v>
      </c>
      <c r="B173" s="7" t="n">
        <v>0.316227766016838</v>
      </c>
      <c r="C173" s="7" t="n">
        <v>0.316227766016838</v>
      </c>
      <c r="D173" s="7"/>
      <c r="E173" s="6"/>
      <c r="F173" s="8" t="n">
        <v>0.125</v>
      </c>
      <c r="G173" s="8" t="n">
        <v>0.125</v>
      </c>
      <c r="H173" s="8" t="n">
        <v>0.2</v>
      </c>
      <c r="I173" s="8" t="n">
        <v>0.142857142857143</v>
      </c>
      <c r="J173" s="8" t="n">
        <v>0.142857142857143</v>
      </c>
      <c r="K173" s="8" t="n">
        <v>0.333333333333333</v>
      </c>
      <c r="L173" s="8" t="n">
        <v>0.25</v>
      </c>
      <c r="M173" s="9" t="n">
        <f aca="false">IF(COUNT(G173:L173)=6,AVERAGE(G173:L173),"")</f>
        <v>0.199007936507936</v>
      </c>
      <c r="N173" s="10" t="s">
        <v>49</v>
      </c>
      <c r="O173" s="10" t="n">
        <f aca="false">IF(F173="","",COUNTIFS($A$2:$A$234,A173,$F$2:$F$234,"&gt;"&amp;F173)+1)</f>
        <v>26</v>
      </c>
      <c r="P173" s="11" t="str">
        <f aca="false">A173&amp;"|"&amp;O173</f>
        <v>FedAdagrad|26</v>
      </c>
    </row>
    <row r="174" customFormat="false" ht="15" hidden="false" customHeight="false" outlineLevel="0" collapsed="false">
      <c r="A174" s="6" t="s">
        <v>42</v>
      </c>
      <c r="B174" s="7" t="n">
        <v>0.316227766016838</v>
      </c>
      <c r="C174" s="7" t="n">
        <v>1</v>
      </c>
      <c r="D174" s="7"/>
      <c r="E174" s="6"/>
      <c r="F174" s="8" t="n">
        <v>0.125</v>
      </c>
      <c r="G174" s="8" t="n">
        <v>0.125</v>
      </c>
      <c r="H174" s="8" t="n">
        <v>0</v>
      </c>
      <c r="I174" s="8" t="n">
        <v>0</v>
      </c>
      <c r="J174" s="8" t="n">
        <v>0.142857142857143</v>
      </c>
      <c r="K174" s="8" t="n">
        <v>0</v>
      </c>
      <c r="L174" s="8" t="n">
        <v>0</v>
      </c>
      <c r="M174" s="9" t="n">
        <f aca="false">IF(COUNT(G174:L174)=6,AVERAGE(G174:L174),"")</f>
        <v>0.0446428571428571</v>
      </c>
      <c r="N174" s="10" t="s">
        <v>49</v>
      </c>
      <c r="O174" s="10" t="n">
        <f aca="false">IF(F174="","",COUNTIFS($A$2:$A$234,A174,$F$2:$F$234,"&gt;"&amp;F174)+1)</f>
        <v>26</v>
      </c>
      <c r="P174" s="11" t="str">
        <f aca="false">A174&amp;"|"&amp;O174</f>
        <v>FedAdagrad|26</v>
      </c>
    </row>
    <row r="175" customFormat="false" ht="15" hidden="false" customHeight="false" outlineLevel="0" collapsed="false">
      <c r="A175" s="6" t="s">
        <v>42</v>
      </c>
      <c r="B175" s="7" t="n">
        <v>0.316227766016838</v>
      </c>
      <c r="C175" s="7" t="n">
        <v>10</v>
      </c>
      <c r="D175" s="7"/>
      <c r="E175" s="6"/>
      <c r="F175" s="8" t="n">
        <v>0.122872339521187</v>
      </c>
      <c r="G175" s="8" t="n">
        <v>0.124843426429894</v>
      </c>
      <c r="H175" s="8" t="n">
        <v>0.178571428571429</v>
      </c>
      <c r="I175" s="8" t="n">
        <v>0.139880952380952</v>
      </c>
      <c r="J175" s="8" t="n">
        <v>0.137755102040816</v>
      </c>
      <c r="K175" s="8" t="n">
        <v>0.27891156462585</v>
      </c>
      <c r="L175" s="8" t="n">
        <v>0.25</v>
      </c>
      <c r="M175" s="9" t="n">
        <f aca="false">IF(COUNT(G175:L175)=6,AVERAGE(G175:L175),"")</f>
        <v>0.184993745674824</v>
      </c>
      <c r="N175" s="10" t="s">
        <v>49</v>
      </c>
      <c r="O175" s="10" t="n">
        <f aca="false">IF(F175="","",COUNTIFS($A$2:$A$234,A175,$F$2:$F$234,"&gt;"&amp;F175)+1)</f>
        <v>41</v>
      </c>
      <c r="P175" s="11" t="str">
        <f aca="false">A175&amp;"|"&amp;O175</f>
        <v>FedAdagrad|41</v>
      </c>
    </row>
    <row r="176" customFormat="false" ht="15" hidden="false" customHeight="false" outlineLevel="0" collapsed="false">
      <c r="A176" s="6" t="s">
        <v>43</v>
      </c>
      <c r="B176" s="7" t="n">
        <v>0.001</v>
      </c>
      <c r="C176" s="7" t="n">
        <v>0.001</v>
      </c>
      <c r="D176" s="7"/>
      <c r="E176" s="6"/>
      <c r="F176" s="8" t="n">
        <v>0.139516475040871</v>
      </c>
      <c r="G176" s="8" t="n">
        <v>0.133170724741849</v>
      </c>
      <c r="H176" s="8" t="n">
        <v>0.244786259052746</v>
      </c>
      <c r="I176" s="8" t="n">
        <v>0.123610291748611</v>
      </c>
      <c r="J176" s="8" t="n">
        <v>0.130118348709347</v>
      </c>
      <c r="K176" s="8" t="n">
        <v>0.157802514945372</v>
      </c>
      <c r="L176" s="8" t="n">
        <v>0.0968468468468468</v>
      </c>
      <c r="M176" s="9" t="n">
        <f aca="false">IF(COUNT(G176:L176)=6,AVERAGE(G176:L176),"")</f>
        <v>0.147722497674129</v>
      </c>
      <c r="N176" s="10" t="s">
        <v>49</v>
      </c>
      <c r="O176" s="10" t="n">
        <f aca="false">IF(F176="","",COUNTIFS($A$2:$A$234,A176,$F$2:$F$234,"&gt;"&amp;F176)+1)</f>
        <v>22</v>
      </c>
      <c r="P176" s="11" t="str">
        <f aca="false">A176&amp;"|"&amp;O176</f>
        <v>Scaffold|22</v>
      </c>
    </row>
    <row r="177" customFormat="false" ht="15" hidden="false" customHeight="false" outlineLevel="0" collapsed="false">
      <c r="A177" s="6" t="s">
        <v>43</v>
      </c>
      <c r="B177" s="7" t="n">
        <v>0.001</v>
      </c>
      <c r="C177" s="7" t="n">
        <v>0.0031622776601683</v>
      </c>
      <c r="D177" s="7"/>
      <c r="E177" s="6"/>
      <c r="F177" s="8" t="n">
        <v>0.127663594173983</v>
      </c>
      <c r="G177" s="8" t="n">
        <v>0.124524615332032</v>
      </c>
      <c r="H177" s="8" t="n">
        <v>0.238223418573351</v>
      </c>
      <c r="I177" s="8" t="n">
        <v>0.115395193553667</v>
      </c>
      <c r="J177" s="8" t="n">
        <v>0.139155886514008</v>
      </c>
      <c r="K177" s="8" t="n">
        <v>0.122242836528551</v>
      </c>
      <c r="L177" s="8" t="n">
        <v>0.0758258258258258</v>
      </c>
      <c r="M177" s="9" t="n">
        <f aca="false">IF(COUNT(G177:L177)=6,AVERAGE(G177:L177),"")</f>
        <v>0.135894629387906</v>
      </c>
      <c r="N177" s="10" t="s">
        <v>49</v>
      </c>
      <c r="O177" s="10" t="n">
        <f aca="false">IF(F177="","",COUNTIFS($A$2:$A$234,A177,$F$2:$F$234,"&gt;"&amp;F177)+1)</f>
        <v>26</v>
      </c>
      <c r="P177" s="11" t="str">
        <f aca="false">A177&amp;"|"&amp;O177</f>
        <v>Scaffold|26</v>
      </c>
    </row>
    <row r="178" customFormat="false" ht="15" hidden="false" customHeight="false" outlineLevel="0" collapsed="false">
      <c r="A178" s="6" t="s">
        <v>43</v>
      </c>
      <c r="B178" s="7" t="n">
        <v>0.001</v>
      </c>
      <c r="C178" s="7" t="n">
        <v>0.01</v>
      </c>
      <c r="D178" s="7"/>
      <c r="E178" s="6"/>
      <c r="F178" s="8" t="n">
        <v>0.154814235408879</v>
      </c>
      <c r="G178" s="8" t="n">
        <v>0.164653180801664</v>
      </c>
      <c r="H178" s="8" t="n">
        <v>0.25382725544233</v>
      </c>
      <c r="I178" s="8" t="n">
        <v>0.11583724653476</v>
      </c>
      <c r="J178" s="8" t="n">
        <v>0.141722367651918</v>
      </c>
      <c r="K178" s="8" t="n">
        <v>0.191816120387549</v>
      </c>
      <c r="L178" s="8" t="n">
        <v>0.103603603603604</v>
      </c>
      <c r="M178" s="9" t="n">
        <f aca="false">IF(COUNT(G178:L178)=6,AVERAGE(G178:L178),"")</f>
        <v>0.161909962403637</v>
      </c>
      <c r="N178" s="10" t="s">
        <v>49</v>
      </c>
      <c r="O178" s="10" t="n">
        <f aca="false">IF(F178="","",COUNTIFS($A$2:$A$234,A178,$F$2:$F$234,"&gt;"&amp;F178)+1)</f>
        <v>19</v>
      </c>
      <c r="P178" s="11" t="str">
        <f aca="false">A178&amp;"|"&amp;O178</f>
        <v>Scaffold|19</v>
      </c>
    </row>
    <row r="179" customFormat="false" ht="15" hidden="false" customHeight="false" outlineLevel="0" collapsed="false">
      <c r="A179" s="6" t="s">
        <v>43</v>
      </c>
      <c r="B179" s="7" t="n">
        <v>0.001</v>
      </c>
      <c r="C179" s="7" t="n">
        <v>0.0316227766016837</v>
      </c>
      <c r="D179" s="7"/>
      <c r="E179" s="6"/>
      <c r="F179" s="8" t="n">
        <v>0.188222550316787</v>
      </c>
      <c r="G179" s="8" t="n">
        <v>0.18463610540618</v>
      </c>
      <c r="H179" s="8" t="n">
        <v>0.350405904847358</v>
      </c>
      <c r="I179" s="8" t="n">
        <v>0.169170904287603</v>
      </c>
      <c r="J179" s="8" t="n">
        <v>0.17635059004922</v>
      </c>
      <c r="K179" s="8" t="n">
        <v>0.203463203463203</v>
      </c>
      <c r="L179" s="8" t="n">
        <v>0.131381381381381</v>
      </c>
      <c r="M179" s="9" t="n">
        <f aca="false">IF(COUNT(G179:L179)=6,AVERAGE(G179:L179),"")</f>
        <v>0.202568014905824</v>
      </c>
      <c r="N179" s="10" t="s">
        <v>49</v>
      </c>
      <c r="O179" s="10" t="n">
        <f aca="false">IF(F179="","",COUNTIFS($A$2:$A$234,A179,$F$2:$F$234,"&gt;"&amp;F179)+1)</f>
        <v>16</v>
      </c>
      <c r="P179" s="11" t="str">
        <f aca="false">A179&amp;"|"&amp;O179</f>
        <v>Scaffold|16</v>
      </c>
    </row>
    <row r="180" customFormat="false" ht="15" hidden="false" customHeight="false" outlineLevel="0" collapsed="false">
      <c r="A180" s="6" t="s">
        <v>43</v>
      </c>
      <c r="B180" s="7" t="n">
        <v>0.001</v>
      </c>
      <c r="C180" s="7" t="n">
        <v>0.1</v>
      </c>
      <c r="D180" s="7"/>
      <c r="E180" s="6"/>
      <c r="F180" s="8" t="n">
        <v>0.309506185541889</v>
      </c>
      <c r="G180" s="8" t="n">
        <v>0.293554271718088</v>
      </c>
      <c r="H180" s="8" t="n">
        <v>0.442880642611464</v>
      </c>
      <c r="I180" s="8" t="n">
        <v>0.300944494075061</v>
      </c>
      <c r="J180" s="8" t="n">
        <v>0.273163524980082</v>
      </c>
      <c r="K180" s="8" t="n">
        <v>0.260770975056689</v>
      </c>
      <c r="L180" s="8" t="n">
        <v>0.366741741741742</v>
      </c>
      <c r="M180" s="9" t="n">
        <f aca="false">IF(COUNT(G180:L180)=6,AVERAGE(G180:L180),"")</f>
        <v>0.323009275030521</v>
      </c>
      <c r="N180" s="10" t="s">
        <v>49</v>
      </c>
      <c r="O180" s="10" t="n">
        <f aca="false">IF(F180="","",COUNTIFS($A$2:$A$234,A180,$F$2:$F$234,"&gt;"&amp;F180)+1)</f>
        <v>11</v>
      </c>
      <c r="P180" s="11" t="str">
        <f aca="false">A180&amp;"|"&amp;O180</f>
        <v>Scaffold|11</v>
      </c>
    </row>
    <row r="181" customFormat="false" ht="15" hidden="false" customHeight="false" outlineLevel="0" collapsed="false">
      <c r="A181" s="6" t="s">
        <v>43</v>
      </c>
      <c r="B181" s="7" t="n">
        <v>0.001</v>
      </c>
      <c r="C181" s="7" t="n">
        <v>0.316227766016838</v>
      </c>
      <c r="D181" s="7"/>
      <c r="E181" s="6"/>
      <c r="F181" s="8" t="n">
        <v>0.444015281180303</v>
      </c>
      <c r="G181" s="8" t="n">
        <v>0.418465790813673</v>
      </c>
      <c r="H181" s="8" t="n">
        <v>0.587444722168814</v>
      </c>
      <c r="I181" s="8" t="n">
        <v>0.479346021113695</v>
      </c>
      <c r="J181" s="8" t="n">
        <v>0.419919902554124</v>
      </c>
      <c r="K181" s="8" t="n">
        <v>0.363327149041435</v>
      </c>
      <c r="L181" s="8" t="n">
        <v>0.723911411411411</v>
      </c>
      <c r="M181" s="9" t="n">
        <f aca="false">IF(COUNT(G181:L181)=6,AVERAGE(G181:L181),"")</f>
        <v>0.498735832850525</v>
      </c>
      <c r="N181" s="10" t="s">
        <v>49</v>
      </c>
      <c r="O181" s="10" t="n">
        <f aca="false">IF(F181="","",COUNTIFS($A$2:$A$234,A181,$F$2:$F$234,"&gt;"&amp;F181)+1)</f>
        <v>9</v>
      </c>
      <c r="P181" s="11" t="str">
        <f aca="false">A181&amp;"|"&amp;O181</f>
        <v>Scaffold|9</v>
      </c>
    </row>
    <row r="182" customFormat="false" ht="15" hidden="false" customHeight="false" outlineLevel="0" collapsed="false">
      <c r="A182" s="6" t="s">
        <v>43</v>
      </c>
      <c r="B182" s="7" t="n">
        <v>0.001</v>
      </c>
      <c r="C182" s="7" t="n">
        <v>1</v>
      </c>
      <c r="D182" s="7"/>
      <c r="E182" s="6"/>
      <c r="F182" s="8" t="n">
        <v>0.519619037453619</v>
      </c>
      <c r="G182" s="8" t="n">
        <v>0.50201135658589</v>
      </c>
      <c r="H182" s="8" t="n">
        <v>0.627840799846183</v>
      </c>
      <c r="I182" s="8" t="n">
        <v>0.6857861013135</v>
      </c>
      <c r="J182" s="8" t="n">
        <v>0.485997311914099</v>
      </c>
      <c r="K182" s="8" t="n">
        <v>0.408987837559266</v>
      </c>
      <c r="L182" s="8" t="n">
        <v>0.566816816816817</v>
      </c>
      <c r="M182" s="9" t="n">
        <f aca="false">IF(COUNT(G182:L182)=6,AVERAGE(G182:L182),"")</f>
        <v>0.546240037339293</v>
      </c>
      <c r="N182" s="10" t="s">
        <v>49</v>
      </c>
      <c r="O182" s="10" t="n">
        <f aca="false">IF(F182="","",COUNTIFS($A$2:$A$234,A182,$F$2:$F$234,"&gt;"&amp;F182)+1)</f>
        <v>4</v>
      </c>
      <c r="P182" s="11" t="str">
        <f aca="false">A182&amp;"|"&amp;O182</f>
        <v>Scaffold|4</v>
      </c>
    </row>
    <row r="183" customFormat="false" ht="15" hidden="false" customHeight="false" outlineLevel="0" collapsed="false">
      <c r="A183" s="6" t="s">
        <v>43</v>
      </c>
      <c r="B183" s="7" t="n">
        <v>0.001</v>
      </c>
      <c r="C183" s="7" t="n">
        <v>10</v>
      </c>
      <c r="D183" s="7"/>
      <c r="E183" s="6"/>
      <c r="F183" s="8" t="n">
        <v>0.131326370252476</v>
      </c>
      <c r="G183" s="8" t="n">
        <v>0.123488347608137</v>
      </c>
      <c r="H183" s="8" t="n">
        <v>0.171428571428571</v>
      </c>
      <c r="I183" s="8" t="n">
        <v>0.152067245817246</v>
      </c>
      <c r="J183" s="8" t="n">
        <v>0.142857142857143</v>
      </c>
      <c r="K183" s="8" t="n">
        <v>0</v>
      </c>
      <c r="L183" s="8" t="n">
        <v>0</v>
      </c>
      <c r="M183" s="9" t="n">
        <f aca="false">IF(COUNT(G183:L183)=6,AVERAGE(G183:L183),"")</f>
        <v>0.0983068846185161</v>
      </c>
      <c r="N183" s="10" t="s">
        <v>49</v>
      </c>
      <c r="O183" s="10" t="n">
        <f aca="false">IF(F183="","",COUNTIFS($A$2:$A$234,A183,$F$2:$F$234,"&gt;"&amp;F183)+1)</f>
        <v>24</v>
      </c>
      <c r="P183" s="11" t="str">
        <f aca="false">A183&amp;"|"&amp;O183</f>
        <v>Scaffold|24</v>
      </c>
    </row>
    <row r="184" customFormat="false" ht="15" hidden="false" customHeight="false" outlineLevel="0" collapsed="false">
      <c r="A184" s="6" t="s">
        <v>43</v>
      </c>
      <c r="B184" s="7" t="n">
        <v>0.0031622776601683</v>
      </c>
      <c r="C184" s="7" t="n">
        <v>0.001</v>
      </c>
      <c r="D184" s="7"/>
      <c r="E184" s="6"/>
      <c r="F184" s="8" t="n">
        <v>0.114274812448244</v>
      </c>
      <c r="G184" s="8" t="n">
        <v>0.104827829670507</v>
      </c>
      <c r="H184" s="8" t="n">
        <v>0.212493323933432</v>
      </c>
      <c r="I184" s="8" t="n">
        <v>0.0939527194565812</v>
      </c>
      <c r="J184" s="8" t="n">
        <v>0.142558075804906</v>
      </c>
      <c r="K184" s="8" t="n">
        <v>0.101628530199959</v>
      </c>
      <c r="L184" s="8" t="n">
        <v>0.0968468468468468</v>
      </c>
      <c r="M184" s="9" t="n">
        <f aca="false">IF(COUNT(G184:L184)=6,AVERAGE(G184:L184),"")</f>
        <v>0.125384554318705</v>
      </c>
      <c r="N184" s="10" t="s">
        <v>49</v>
      </c>
      <c r="O184" s="10" t="n">
        <f aca="false">IF(F184="","",COUNTIFS($A$2:$A$234,A184,$F$2:$F$234,"&gt;"&amp;F184)+1)</f>
        <v>45</v>
      </c>
      <c r="P184" s="11" t="str">
        <f aca="false">A184&amp;"|"&amp;O184</f>
        <v>Scaffold|45</v>
      </c>
    </row>
    <row r="185" customFormat="false" ht="15" hidden="false" customHeight="false" outlineLevel="0" collapsed="false">
      <c r="A185" s="6" t="s">
        <v>43</v>
      </c>
      <c r="B185" s="7" t="n">
        <v>0.0031622776601683</v>
      </c>
      <c r="C185" s="7" t="n">
        <v>0.0031622776601683</v>
      </c>
      <c r="D185" s="7"/>
      <c r="E185" s="6"/>
      <c r="F185" s="8" t="n">
        <v>0.129801300666592</v>
      </c>
      <c r="G185" s="8" t="n">
        <v>0.126281415402062</v>
      </c>
      <c r="H185" s="8" t="n">
        <v>0.25197077485099</v>
      </c>
      <c r="I185" s="8" t="n">
        <v>0.11503594227478</v>
      </c>
      <c r="J185" s="8" t="n">
        <v>0.14225755384183</v>
      </c>
      <c r="K185" s="8" t="n">
        <v>0.093073593073593</v>
      </c>
      <c r="L185" s="8" t="n">
        <v>0.221846846846847</v>
      </c>
      <c r="M185" s="9" t="n">
        <f aca="false">IF(COUNT(G185:L185)=6,AVERAGE(G185:L185),"")</f>
        <v>0.15841102104835</v>
      </c>
      <c r="N185" s="10" t="s">
        <v>49</v>
      </c>
      <c r="O185" s="10" t="n">
        <f aca="false">IF(F185="","",COUNTIFS($A$2:$A$234,A185,$F$2:$F$234,"&gt;"&amp;F185)+1)</f>
        <v>25</v>
      </c>
      <c r="P185" s="11" t="str">
        <f aca="false">A185&amp;"|"&amp;O185</f>
        <v>Scaffold|25</v>
      </c>
    </row>
    <row r="186" customFormat="false" ht="15" hidden="false" customHeight="false" outlineLevel="0" collapsed="false">
      <c r="A186" s="6" t="s">
        <v>43</v>
      </c>
      <c r="B186" s="7" t="n">
        <v>0.0031622776601683</v>
      </c>
      <c r="C186" s="7" t="n">
        <v>0.01</v>
      </c>
      <c r="D186" s="7"/>
      <c r="E186" s="6"/>
      <c r="F186" s="8" t="n">
        <v>0.162951003838484</v>
      </c>
      <c r="G186" s="8" t="n">
        <v>0.163503403896883</v>
      </c>
      <c r="H186" s="8" t="n">
        <v>0.251149351620415</v>
      </c>
      <c r="I186" s="8" t="n">
        <v>0.146688268006201</v>
      </c>
      <c r="J186" s="8" t="n">
        <v>0.177031267323108</v>
      </c>
      <c r="K186" s="8" t="n">
        <v>0.168109668109668</v>
      </c>
      <c r="L186" s="8" t="n">
        <v>0.128003003003003</v>
      </c>
      <c r="M186" s="9" t="n">
        <f aca="false">IF(COUNT(G186:L186)=6,AVERAGE(G186:L186),"")</f>
        <v>0.172414160326546</v>
      </c>
      <c r="N186" s="10" t="s">
        <v>49</v>
      </c>
      <c r="O186" s="10" t="n">
        <f aca="false">IF(F186="","",COUNTIFS($A$2:$A$234,A186,$F$2:$F$234,"&gt;"&amp;F186)+1)</f>
        <v>17</v>
      </c>
      <c r="P186" s="11" t="str">
        <f aca="false">A186&amp;"|"&amp;O186</f>
        <v>Scaffold|17</v>
      </c>
    </row>
    <row r="187" customFormat="false" ht="15" hidden="false" customHeight="false" outlineLevel="0" collapsed="false">
      <c r="A187" s="6" t="s">
        <v>43</v>
      </c>
      <c r="B187" s="7" t="n">
        <v>0.0031622776601683</v>
      </c>
      <c r="C187" s="7" t="n">
        <v>0.0316227766016837</v>
      </c>
      <c r="D187" s="7"/>
      <c r="E187" s="6"/>
      <c r="F187" s="8" t="n">
        <v>0.264657039948987</v>
      </c>
      <c r="G187" s="8" t="n">
        <v>0.246156780439301</v>
      </c>
      <c r="H187" s="8" t="n">
        <v>0.424051998547288</v>
      </c>
      <c r="I187" s="8" t="n">
        <v>0.265297671029715</v>
      </c>
      <c r="J187" s="8" t="n">
        <v>0.261709030355333</v>
      </c>
      <c r="K187" s="8" t="n">
        <v>0.201298701298701</v>
      </c>
      <c r="L187" s="8" t="n">
        <v>0.203828828828829</v>
      </c>
      <c r="M187" s="9" t="n">
        <f aca="false">IF(COUNT(G187:L187)=6,AVERAGE(G187:L187),"")</f>
        <v>0.267057168416528</v>
      </c>
      <c r="N187" s="10" t="s">
        <v>49</v>
      </c>
      <c r="O187" s="10" t="n">
        <f aca="false">IF(F187="","",COUNTIFS($A$2:$A$234,A187,$F$2:$F$234,"&gt;"&amp;F187)+1)</f>
        <v>12</v>
      </c>
      <c r="P187" s="11" t="str">
        <f aca="false">A187&amp;"|"&amp;O187</f>
        <v>Scaffold|12</v>
      </c>
    </row>
    <row r="188" customFormat="false" ht="15" hidden="false" customHeight="false" outlineLevel="0" collapsed="false">
      <c r="A188" s="6" t="s">
        <v>43</v>
      </c>
      <c r="B188" s="7" t="n">
        <v>0.0031622776601683</v>
      </c>
      <c r="C188" s="7" t="n">
        <v>0.1</v>
      </c>
      <c r="D188" s="7"/>
      <c r="E188" s="6"/>
      <c r="F188" s="8" t="n">
        <v>0.421121635196508</v>
      </c>
      <c r="G188" s="8" t="n">
        <v>0.387176948844176</v>
      </c>
      <c r="H188" s="8" t="n">
        <v>0.571005575850798</v>
      </c>
      <c r="I188" s="8" t="n">
        <v>0.44661622448718</v>
      </c>
      <c r="J188" s="8" t="n">
        <v>0.40034195929712</v>
      </c>
      <c r="K188" s="8" t="n">
        <v>0.34992784992785</v>
      </c>
      <c r="L188" s="8" t="n">
        <v>0.717154654654655</v>
      </c>
      <c r="M188" s="9" t="n">
        <f aca="false">IF(COUNT(G188:L188)=6,AVERAGE(G188:L188),"")</f>
        <v>0.47870386884363</v>
      </c>
      <c r="N188" s="10" t="s">
        <v>49</v>
      </c>
      <c r="O188" s="10" t="n">
        <f aca="false">IF(F188="","",COUNTIFS($A$2:$A$234,A188,$F$2:$F$234,"&gt;"&amp;F188)+1)</f>
        <v>10</v>
      </c>
      <c r="P188" s="11" t="str">
        <f aca="false">A188&amp;"|"&amp;O188</f>
        <v>Scaffold|10</v>
      </c>
    </row>
    <row r="189" customFormat="false" ht="15" hidden="false" customHeight="false" outlineLevel="0" collapsed="false">
      <c r="A189" s="6" t="s">
        <v>43</v>
      </c>
      <c r="B189" s="7" t="n">
        <v>0.0031622776601683</v>
      </c>
      <c r="C189" s="7" t="n">
        <v>0.316227766016838</v>
      </c>
      <c r="D189" s="7"/>
      <c r="E189" s="6"/>
      <c r="F189" s="8" t="n">
        <v>0.505975705570374</v>
      </c>
      <c r="G189" s="8" t="n">
        <v>0.502311546985925</v>
      </c>
      <c r="H189" s="8" t="n">
        <v>0.617736973658912</v>
      </c>
      <c r="I189" s="8" t="n">
        <v>0.666557320400764</v>
      </c>
      <c r="J189" s="8" t="n">
        <v>0.439591438936287</v>
      </c>
      <c r="K189" s="8" t="n">
        <v>0.37847866419295</v>
      </c>
      <c r="L189" s="8" t="n">
        <v>0.597972972972973</v>
      </c>
      <c r="M189" s="9" t="n">
        <f aca="false">IF(COUNT(G189:L189)=6,AVERAGE(G189:L189),"")</f>
        <v>0.533774819524635</v>
      </c>
      <c r="N189" s="10" t="s">
        <v>49</v>
      </c>
      <c r="O189" s="10" t="n">
        <f aca="false">IF(F189="","",COUNTIFS($A$2:$A$234,A189,$F$2:$F$234,"&gt;"&amp;F189)+1)</f>
        <v>6</v>
      </c>
      <c r="P189" s="11" t="str">
        <f aca="false">A189&amp;"|"&amp;O189</f>
        <v>Scaffold|6</v>
      </c>
    </row>
    <row r="190" customFormat="false" ht="15" hidden="false" customHeight="false" outlineLevel="0" collapsed="false">
      <c r="A190" s="6" t="s">
        <v>43</v>
      </c>
      <c r="B190" s="7" t="n">
        <v>0.0031622776601683</v>
      </c>
      <c r="C190" s="7" t="n">
        <v>1</v>
      </c>
      <c r="D190" s="7"/>
      <c r="E190" s="6"/>
      <c r="F190" s="8" t="n">
        <v>0.605060086382901</v>
      </c>
      <c r="G190" s="8" t="n">
        <v>0.627309812297733</v>
      </c>
      <c r="H190" s="8" t="n">
        <v>0.642809075177851</v>
      </c>
      <c r="I190" s="8" t="n">
        <v>0.692380923561863</v>
      </c>
      <c r="J190" s="8" t="n">
        <v>0.53254300366527</v>
      </c>
      <c r="K190" s="8" t="n">
        <v>0.373428159142445</v>
      </c>
      <c r="L190" s="8" t="n">
        <v>0.743243243243243</v>
      </c>
      <c r="M190" s="9" t="n">
        <f aca="false">IF(COUNT(G190:L190)=6,AVERAGE(G190:L190),"")</f>
        <v>0.601952369514734</v>
      </c>
      <c r="N190" s="10" t="s">
        <v>49</v>
      </c>
      <c r="O190" s="10" t="n">
        <f aca="false">IF(F190="","",COUNTIFS($A$2:$A$234,A190,$F$2:$F$234,"&gt;"&amp;F190)+1)</f>
        <v>2</v>
      </c>
      <c r="P190" s="11" t="str">
        <f aca="false">A190&amp;"|"&amp;O190</f>
        <v>Scaffold|2</v>
      </c>
    </row>
    <row r="191" customFormat="false" ht="15" hidden="false" customHeight="false" outlineLevel="0" collapsed="false">
      <c r="A191" s="6" t="s">
        <v>43</v>
      </c>
      <c r="B191" s="7" t="n">
        <v>0.0031622776601683</v>
      </c>
      <c r="C191" s="7" t="n">
        <v>10</v>
      </c>
      <c r="D191" s="7"/>
      <c r="E191" s="6"/>
      <c r="F191" s="8" t="n">
        <v>0.125</v>
      </c>
      <c r="G191" s="8" t="n">
        <v>0.125</v>
      </c>
      <c r="H191" s="8" t="n">
        <v>0.2</v>
      </c>
      <c r="I191" s="8" t="n">
        <v>0.142857142857143</v>
      </c>
      <c r="J191" s="8" t="n">
        <v>0.142857142857143</v>
      </c>
      <c r="K191" s="8" t="n">
        <v>0.333333333333333</v>
      </c>
      <c r="L191" s="8" t="n">
        <v>0.25</v>
      </c>
      <c r="M191" s="9" t="n">
        <f aca="false">IF(COUNT(G191:L191)=6,AVERAGE(G191:L191),"")</f>
        <v>0.199007936507936</v>
      </c>
      <c r="N191" s="10" t="s">
        <v>49</v>
      </c>
      <c r="O191" s="10" t="n">
        <f aca="false">IF(F191="","",COUNTIFS($A$2:$A$234,A191,$F$2:$F$234,"&gt;"&amp;F191)+1)</f>
        <v>28</v>
      </c>
      <c r="P191" s="11" t="str">
        <f aca="false">A191&amp;"|"&amp;O191</f>
        <v>Scaffold|28</v>
      </c>
    </row>
    <row r="192" customFormat="false" ht="15" hidden="false" customHeight="false" outlineLevel="0" collapsed="false">
      <c r="A192" s="6" t="s">
        <v>43</v>
      </c>
      <c r="B192" s="7" t="n">
        <v>0.01</v>
      </c>
      <c r="C192" s="7" t="n">
        <v>0.001</v>
      </c>
      <c r="D192" s="7"/>
      <c r="E192" s="6"/>
      <c r="F192" s="8" t="n">
        <v>0.125430635501213</v>
      </c>
      <c r="G192" s="8" t="n">
        <v>0.126536306879498</v>
      </c>
      <c r="H192" s="8" t="n">
        <v>0.0580753701211305</v>
      </c>
      <c r="I192" s="8" t="n">
        <v>0.0894535672061323</v>
      </c>
      <c r="J192" s="8" t="n">
        <v>0.119147344898217</v>
      </c>
      <c r="K192" s="8" t="n">
        <v>0.107091321377036</v>
      </c>
      <c r="L192" s="8" t="n">
        <v>0</v>
      </c>
      <c r="M192" s="9" t="n">
        <f aca="false">IF(COUNT(G192:L192)=6,AVERAGE(G192:L192),"")</f>
        <v>0.0833839850803356</v>
      </c>
      <c r="N192" s="10" t="s">
        <v>49</v>
      </c>
      <c r="O192" s="10" t="n">
        <f aca="false">IF(F192="","",COUNTIFS($A$2:$A$234,A192,$F$2:$F$234,"&gt;"&amp;F192)+1)</f>
        <v>27</v>
      </c>
      <c r="P192" s="11" t="str">
        <f aca="false">A192&amp;"|"&amp;O192</f>
        <v>Scaffold|27</v>
      </c>
    </row>
    <row r="193" customFormat="false" ht="15" hidden="false" customHeight="false" outlineLevel="0" collapsed="false">
      <c r="A193" s="6" t="s">
        <v>43</v>
      </c>
      <c r="B193" s="7" t="n">
        <v>0.01</v>
      </c>
      <c r="C193" s="7" t="n">
        <v>0.0031622776601683</v>
      </c>
      <c r="D193" s="7"/>
      <c r="E193" s="6"/>
      <c r="F193" s="8" t="n">
        <v>0.137558098768905</v>
      </c>
      <c r="G193" s="8" t="n">
        <v>0.144008511032914</v>
      </c>
      <c r="H193" s="8" t="n">
        <v>0.147952316862142</v>
      </c>
      <c r="I193" s="8" t="n">
        <v>0.0767139075361535</v>
      </c>
      <c r="J193" s="8" t="n">
        <v>0.155453558325166</v>
      </c>
      <c r="K193" s="8" t="n">
        <v>0.0658627087198515</v>
      </c>
      <c r="L193" s="8" t="n">
        <v>0.0135135135135135</v>
      </c>
      <c r="M193" s="9" t="n">
        <f aca="false">IF(COUNT(G193:L193)=6,AVERAGE(G193:L193),"")</f>
        <v>0.10058408599829</v>
      </c>
      <c r="N193" s="10" t="s">
        <v>49</v>
      </c>
      <c r="O193" s="10" t="n">
        <f aca="false">IF(F193="","",COUNTIFS($A$2:$A$234,A193,$F$2:$F$234,"&gt;"&amp;F193)+1)</f>
        <v>23</v>
      </c>
      <c r="P193" s="11" t="str">
        <f aca="false">A193&amp;"|"&amp;O193</f>
        <v>Scaffold|23</v>
      </c>
    </row>
    <row r="194" customFormat="false" ht="15" hidden="false" customHeight="false" outlineLevel="0" collapsed="false">
      <c r="A194" s="6" t="s">
        <v>43</v>
      </c>
      <c r="B194" s="7" t="n">
        <v>0.01</v>
      </c>
      <c r="C194" s="7" t="n">
        <v>0.01</v>
      </c>
      <c r="D194" s="7"/>
      <c r="E194" s="6"/>
      <c r="F194" s="8" t="n">
        <v>0.158108698264319</v>
      </c>
      <c r="G194" s="8" t="n">
        <v>0.164750339007598</v>
      </c>
      <c r="H194" s="8" t="n">
        <v>0.0683041722745625</v>
      </c>
      <c r="I194" s="8" t="n">
        <v>0.119498063671589</v>
      </c>
      <c r="J194" s="8" t="n">
        <v>0.122125915719041</v>
      </c>
      <c r="K194" s="8" t="n">
        <v>0.0915275200989486</v>
      </c>
      <c r="L194" s="8" t="n">
        <v>0.0202702702702702</v>
      </c>
      <c r="M194" s="9" t="n">
        <f aca="false">IF(COUNT(G194:L194)=6,AVERAGE(G194:L194),"")</f>
        <v>0.0977460468403349</v>
      </c>
      <c r="N194" s="10" t="s">
        <v>49</v>
      </c>
      <c r="O194" s="10" t="n">
        <f aca="false">IF(F194="","",COUNTIFS($A$2:$A$234,A194,$F$2:$F$234,"&gt;"&amp;F194)+1)</f>
        <v>18</v>
      </c>
      <c r="P194" s="11" t="str">
        <f aca="false">A194&amp;"|"&amp;O194</f>
        <v>Scaffold|18</v>
      </c>
    </row>
    <row r="195" customFormat="false" ht="15" hidden="false" customHeight="false" outlineLevel="0" collapsed="false">
      <c r="A195" s="6" t="s">
        <v>43</v>
      </c>
      <c r="B195" s="7" t="n">
        <v>0.01</v>
      </c>
      <c r="C195" s="7" t="n">
        <v>0.0316227766016837</v>
      </c>
      <c r="D195" s="7"/>
      <c r="E195" s="6"/>
      <c r="F195" s="8" t="n">
        <v>0.229732129075686</v>
      </c>
      <c r="G195" s="8" t="n">
        <v>0.228276732586798</v>
      </c>
      <c r="H195" s="8" t="n">
        <v>0.320080540067081</v>
      </c>
      <c r="I195" s="8" t="n">
        <v>0.320722620400572</v>
      </c>
      <c r="J195" s="8" t="n">
        <v>0.218855699732923</v>
      </c>
      <c r="K195" s="8" t="n">
        <v>0.0913213770356627</v>
      </c>
      <c r="L195" s="8" t="n">
        <v>0.151839339339339</v>
      </c>
      <c r="M195" s="9" t="n">
        <f aca="false">IF(COUNT(G195:L195)=6,AVERAGE(G195:L195),"")</f>
        <v>0.221849384860396</v>
      </c>
      <c r="N195" s="10" t="s">
        <v>49</v>
      </c>
      <c r="O195" s="10" t="n">
        <f aca="false">IF(F195="","",COUNTIFS($A$2:$A$234,A195,$F$2:$F$234,"&gt;"&amp;F195)+1)</f>
        <v>13</v>
      </c>
      <c r="P195" s="11" t="str">
        <f aca="false">A195&amp;"|"&amp;O195</f>
        <v>Scaffold|13</v>
      </c>
    </row>
    <row r="196" customFormat="false" ht="15" hidden="false" customHeight="false" outlineLevel="0" collapsed="false">
      <c r="A196" s="6" t="s">
        <v>43</v>
      </c>
      <c r="B196" s="7" t="n">
        <v>0.01</v>
      </c>
      <c r="C196" s="7" t="n">
        <v>0.1</v>
      </c>
      <c r="D196" s="7"/>
      <c r="E196" s="6"/>
      <c r="F196" s="8" t="n">
        <v>0.459262709674088</v>
      </c>
      <c r="G196" s="8" t="n">
        <v>0.445861734019027</v>
      </c>
      <c r="H196" s="8" t="n">
        <v>0.557940780619112</v>
      </c>
      <c r="I196" s="8" t="n">
        <v>0.458798982596761</v>
      </c>
      <c r="J196" s="8" t="n">
        <v>0.407646366792968</v>
      </c>
      <c r="K196" s="8" t="n">
        <v>0.324263038548753</v>
      </c>
      <c r="L196" s="8" t="n">
        <v>0.539226726726727</v>
      </c>
      <c r="M196" s="9" t="n">
        <f aca="false">IF(COUNT(G196:L196)=6,AVERAGE(G196:L196),"")</f>
        <v>0.455622938217225</v>
      </c>
      <c r="N196" s="10" t="s">
        <v>49</v>
      </c>
      <c r="O196" s="10" t="n">
        <f aca="false">IF(F196="","",COUNTIFS($A$2:$A$234,A196,$F$2:$F$234,"&gt;"&amp;F196)+1)</f>
        <v>8</v>
      </c>
      <c r="P196" s="11" t="str">
        <f aca="false">A196&amp;"|"&amp;O196</f>
        <v>Scaffold|8</v>
      </c>
    </row>
    <row r="197" customFormat="false" ht="15" hidden="false" customHeight="false" outlineLevel="0" collapsed="false">
      <c r="A197" s="6" t="s">
        <v>43</v>
      </c>
      <c r="B197" s="7" t="n">
        <v>0.01</v>
      </c>
      <c r="C197" s="7" t="n">
        <v>0.316227766016838</v>
      </c>
      <c r="D197" s="7"/>
      <c r="E197" s="6"/>
      <c r="F197" s="8" t="n">
        <v>0.575347762386486</v>
      </c>
      <c r="G197" s="8" t="n">
        <v>0.589594373527381</v>
      </c>
      <c r="H197" s="8" t="n">
        <v>0.649519323207076</v>
      </c>
      <c r="I197" s="8" t="n">
        <v>0.716694505643373</v>
      </c>
      <c r="J197" s="8" t="n">
        <v>0.480558136947995</v>
      </c>
      <c r="K197" s="8" t="n">
        <v>0.434240362811791</v>
      </c>
      <c r="L197" s="8" t="n">
        <v>0.735735735735736</v>
      </c>
      <c r="M197" s="9" t="n">
        <f aca="false">IF(COUNT(G197:L197)=6,AVERAGE(G197:L197),"")</f>
        <v>0.601057072978892</v>
      </c>
      <c r="N197" s="10" t="s">
        <v>49</v>
      </c>
      <c r="O197" s="10" t="n">
        <f aca="false">IF(F197="","",COUNTIFS($A$2:$A$234,A197,$F$2:$F$234,"&gt;"&amp;F197)+1)</f>
        <v>3</v>
      </c>
      <c r="P197" s="11" t="str">
        <f aca="false">A197&amp;"|"&amp;O197</f>
        <v>Scaffold|3</v>
      </c>
    </row>
    <row r="198" customFormat="false" ht="15" hidden="false" customHeight="false" outlineLevel="0" collapsed="false">
      <c r="A198" s="6" t="s">
        <v>43</v>
      </c>
      <c r="B198" s="7" t="n">
        <v>0.01</v>
      </c>
      <c r="C198" s="7" t="n">
        <v>1</v>
      </c>
      <c r="D198" s="7"/>
      <c r="E198" s="6"/>
      <c r="F198" s="8" t="n">
        <v>0.609267092852203</v>
      </c>
      <c r="G198" s="8" t="n">
        <v>0.644386059474049</v>
      </c>
      <c r="H198" s="8" t="n">
        <v>0.595395116323784</v>
      </c>
      <c r="I198" s="8" t="n">
        <v>0.697661759125848</v>
      </c>
      <c r="J198" s="8" t="n">
        <v>0.493845671898084</v>
      </c>
      <c r="K198" s="8" t="n">
        <v>0.3718820861678</v>
      </c>
      <c r="L198" s="8" t="n">
        <v>0.695945945945946</v>
      </c>
      <c r="M198" s="9" t="n">
        <f aca="false">IF(COUNT(G198:L198)=6,AVERAGE(G198:L198),"")</f>
        <v>0.583186106489252</v>
      </c>
      <c r="N198" s="10" t="s">
        <v>49</v>
      </c>
      <c r="O198" s="10" t="n">
        <f aca="false">IF(F198="","",COUNTIFS($A$2:$A$234,A198,$F$2:$F$234,"&gt;"&amp;F198)+1)</f>
        <v>1</v>
      </c>
      <c r="P198" s="11" t="str">
        <f aca="false">A198&amp;"|"&amp;O198</f>
        <v>Scaffold|1</v>
      </c>
    </row>
    <row r="199" customFormat="false" ht="15" hidden="false" customHeight="false" outlineLevel="0" collapsed="false">
      <c r="A199" s="6" t="s">
        <v>43</v>
      </c>
      <c r="B199" s="7" t="n">
        <v>0.01</v>
      </c>
      <c r="C199" s="7" t="n">
        <v>10</v>
      </c>
      <c r="D199" s="7"/>
      <c r="E199" s="6"/>
      <c r="F199" s="8" t="n">
        <v>0.125</v>
      </c>
      <c r="G199" s="8" t="n">
        <v>0.125</v>
      </c>
      <c r="H199" s="8" t="n">
        <v>0</v>
      </c>
      <c r="I199" s="8" t="n">
        <v>0.142857142857143</v>
      </c>
      <c r="J199" s="8" t="n">
        <v>0.142857142857143</v>
      </c>
      <c r="K199" s="8" t="n">
        <v>0</v>
      </c>
      <c r="L199" s="8" t="n">
        <v>0</v>
      </c>
      <c r="M199" s="9" t="n">
        <f aca="false">IF(COUNT(G199:L199)=6,AVERAGE(G199:L199),"")</f>
        <v>0.0684523809523809</v>
      </c>
      <c r="N199" s="10" t="s">
        <v>49</v>
      </c>
      <c r="O199" s="10" t="n">
        <f aca="false">IF(F199="","",COUNTIFS($A$2:$A$234,A199,$F$2:$F$234,"&gt;"&amp;F199)+1)</f>
        <v>28</v>
      </c>
      <c r="P199" s="11" t="str">
        <f aca="false">A199&amp;"|"&amp;O199</f>
        <v>Scaffold|28</v>
      </c>
    </row>
    <row r="200" customFormat="false" ht="15" hidden="false" customHeight="false" outlineLevel="0" collapsed="false">
      <c r="A200" s="6" t="s">
        <v>43</v>
      </c>
      <c r="B200" s="7" t="n">
        <v>0.0316227766016837</v>
      </c>
      <c r="C200" s="7" t="n">
        <v>0.001</v>
      </c>
      <c r="D200" s="7"/>
      <c r="E200" s="6"/>
      <c r="F200" s="8" t="n">
        <v>0.145336329465783</v>
      </c>
      <c r="G200" s="8" t="n">
        <v>0.137435701994891</v>
      </c>
      <c r="H200" s="8" t="n">
        <v>0.187223610844068</v>
      </c>
      <c r="I200" s="8" t="n">
        <v>0.143169560641936</v>
      </c>
      <c r="J200" s="8" t="n">
        <v>0.152442795299938</v>
      </c>
      <c r="K200" s="8" t="n">
        <v>0.33704390847248</v>
      </c>
      <c r="L200" s="8" t="n">
        <v>0.282094594594595</v>
      </c>
      <c r="M200" s="9" t="n">
        <f aca="false">IF(COUNT(G200:L200)=6,AVERAGE(G200:L200),"")</f>
        <v>0.206568361974651</v>
      </c>
      <c r="N200" s="10" t="s">
        <v>49</v>
      </c>
      <c r="O200" s="10" t="n">
        <f aca="false">IF(F200="","",COUNTIFS($A$2:$A$234,A200,$F$2:$F$234,"&gt;"&amp;F200)+1)</f>
        <v>20</v>
      </c>
      <c r="P200" s="11" t="str">
        <f aca="false">A200&amp;"|"&amp;O200</f>
        <v>Scaffold|20</v>
      </c>
    </row>
    <row r="201" customFormat="false" ht="15" hidden="false" customHeight="false" outlineLevel="0" collapsed="false">
      <c r="A201" s="6" t="s">
        <v>43</v>
      </c>
      <c r="B201" s="7" t="n">
        <v>0.0316227766016837</v>
      </c>
      <c r="C201" s="7" t="n">
        <v>0.0031622776601683</v>
      </c>
      <c r="D201" s="7"/>
      <c r="E201" s="6"/>
      <c r="F201" s="8" t="n">
        <v>0.123080963154493</v>
      </c>
      <c r="G201" s="8" t="n">
        <v>0.120978682170543</v>
      </c>
      <c r="H201" s="8" t="n">
        <v>0.2</v>
      </c>
      <c r="I201" s="8" t="n">
        <v>0.142857142857143</v>
      </c>
      <c r="J201" s="8" t="n">
        <v>0</v>
      </c>
      <c r="K201" s="8" t="n">
        <v>0</v>
      </c>
      <c r="L201" s="8" t="n">
        <v>0.25</v>
      </c>
      <c r="M201" s="9" t="n">
        <f aca="false">IF(COUNT(G201:L201)=6,AVERAGE(G201:L201),"")</f>
        <v>0.118972637504614</v>
      </c>
      <c r="N201" s="10" t="s">
        <v>49</v>
      </c>
      <c r="O201" s="10" t="n">
        <f aca="false">IF(F201="","",COUNTIFS($A$2:$A$234,A201,$F$2:$F$234,"&gt;"&amp;F201)+1)</f>
        <v>43</v>
      </c>
      <c r="P201" s="11" t="str">
        <f aca="false">A201&amp;"|"&amp;O201</f>
        <v>Scaffold|43</v>
      </c>
    </row>
    <row r="202" customFormat="false" ht="15" hidden="false" customHeight="false" outlineLevel="0" collapsed="false">
      <c r="A202" s="6" t="s">
        <v>43</v>
      </c>
      <c r="B202" s="7" t="n">
        <v>0.0316227766016837</v>
      </c>
      <c r="C202" s="7" t="n">
        <v>0.01</v>
      </c>
      <c r="D202" s="7"/>
      <c r="E202" s="6"/>
      <c r="F202" s="8" t="n">
        <v>0.0875434508960623</v>
      </c>
      <c r="G202" s="8" t="n">
        <v>0.107701817070895</v>
      </c>
      <c r="H202" s="8" t="n">
        <v>0.0767651520006836</v>
      </c>
      <c r="I202" s="8" t="n">
        <v>0.0565633214113877</v>
      </c>
      <c r="J202" s="8" t="n">
        <v>0.0591044637032895</v>
      </c>
      <c r="K202" s="8" t="n">
        <v>0.0963718820861678</v>
      </c>
      <c r="L202" s="8" t="n">
        <v>0.0675675675675675</v>
      </c>
      <c r="M202" s="9" t="n">
        <f aca="false">IF(COUNT(G202:L202)=6,AVERAGE(G202:L202),"")</f>
        <v>0.0773457006399986</v>
      </c>
      <c r="N202" s="10" t="s">
        <v>49</v>
      </c>
      <c r="O202" s="10" t="n">
        <f aca="false">IF(F202="","",COUNTIFS($A$2:$A$234,A202,$F$2:$F$234,"&gt;"&amp;F202)+1)</f>
        <v>46</v>
      </c>
      <c r="P202" s="11" t="str">
        <f aca="false">A202&amp;"|"&amp;O202</f>
        <v>Scaffold|46</v>
      </c>
    </row>
    <row r="203" customFormat="false" ht="15" hidden="false" customHeight="false" outlineLevel="0" collapsed="false">
      <c r="A203" s="6" t="s">
        <v>43</v>
      </c>
      <c r="B203" s="7" t="n">
        <v>0.0316227766016837</v>
      </c>
      <c r="C203" s="7" t="n">
        <v>0.0316227766016837</v>
      </c>
      <c r="D203" s="7"/>
      <c r="E203" s="6"/>
      <c r="F203" s="8" t="n">
        <v>0.115099241493913</v>
      </c>
      <c r="G203" s="8" t="n">
        <v>0.118806157088413</v>
      </c>
      <c r="H203" s="8" t="n">
        <v>0.176581426648721</v>
      </c>
      <c r="I203" s="8" t="n">
        <v>0.144352718938354</v>
      </c>
      <c r="J203" s="8" t="n">
        <v>0.112244897959184</v>
      </c>
      <c r="K203" s="8" t="n">
        <v>0.181818181818182</v>
      </c>
      <c r="L203" s="8" t="n">
        <v>0.0945945945945946</v>
      </c>
      <c r="M203" s="9" t="n">
        <f aca="false">IF(COUNT(G203:L203)=6,AVERAGE(G203:L203),"")</f>
        <v>0.138066329507908</v>
      </c>
      <c r="N203" s="10" t="s">
        <v>49</v>
      </c>
      <c r="O203" s="10" t="n">
        <f aca="false">IF(F203="","",COUNTIFS($A$2:$A$234,A203,$F$2:$F$234,"&gt;"&amp;F203)+1)</f>
        <v>44</v>
      </c>
      <c r="P203" s="11" t="str">
        <f aca="false">A203&amp;"|"&amp;O203</f>
        <v>Scaffold|44</v>
      </c>
    </row>
    <row r="204" customFormat="false" ht="15" hidden="false" customHeight="false" outlineLevel="0" collapsed="false">
      <c r="A204" s="6" t="s">
        <v>43</v>
      </c>
      <c r="B204" s="7" t="n">
        <v>0.0316227766016837</v>
      </c>
      <c r="C204" s="7" t="n">
        <v>0.1</v>
      </c>
      <c r="D204" s="7"/>
      <c r="E204" s="6"/>
      <c r="F204" s="8" t="n">
        <v>0.196553015688047</v>
      </c>
      <c r="G204" s="8" t="n">
        <v>0.17493274271095</v>
      </c>
      <c r="H204" s="8" t="n">
        <v>0.357379991027367</v>
      </c>
      <c r="I204" s="8" t="n">
        <v>0.246813629149575</v>
      </c>
      <c r="J204" s="8" t="n">
        <v>0.220658058014478</v>
      </c>
      <c r="K204" s="8" t="n">
        <v>0.175221603793032</v>
      </c>
      <c r="L204" s="8" t="n">
        <v>0.0608108108108108</v>
      </c>
      <c r="M204" s="9" t="n">
        <f aca="false">IF(COUNT(G204:L204)=6,AVERAGE(G204:L204),"")</f>
        <v>0.205969472584369</v>
      </c>
      <c r="N204" s="10" t="s">
        <v>49</v>
      </c>
      <c r="O204" s="10" t="n">
        <f aca="false">IF(F204="","",COUNTIFS($A$2:$A$234,A204,$F$2:$F$234,"&gt;"&amp;F204)+1)</f>
        <v>15</v>
      </c>
      <c r="P204" s="11" t="str">
        <f aca="false">A204&amp;"|"&amp;O204</f>
        <v>Scaffold|15</v>
      </c>
    </row>
    <row r="205" customFormat="false" ht="15" hidden="false" customHeight="false" outlineLevel="0" collapsed="false">
      <c r="A205" s="6" t="s">
        <v>43</v>
      </c>
      <c r="B205" s="7" t="n">
        <v>0.0316227766016837</v>
      </c>
      <c r="C205" s="7" t="n">
        <v>0.316227766016838</v>
      </c>
      <c r="D205" s="7"/>
      <c r="E205" s="6"/>
      <c r="F205" s="8" t="n">
        <v>0.51888133047213</v>
      </c>
      <c r="G205" s="8" t="n">
        <v>0.539541672076794</v>
      </c>
      <c r="H205" s="8" t="n">
        <v>0.597317823495482</v>
      </c>
      <c r="I205" s="8" t="n">
        <v>0.696278151363984</v>
      </c>
      <c r="J205" s="8" t="n">
        <v>0.487918273053983</v>
      </c>
      <c r="K205" s="8" t="n">
        <v>0.3001443001443</v>
      </c>
      <c r="L205" s="8" t="n">
        <v>0.707207207207207</v>
      </c>
      <c r="M205" s="9" t="n">
        <f aca="false">IF(COUNT(G205:L205)=6,AVERAGE(G205:L205),"")</f>
        <v>0.554734571223625</v>
      </c>
      <c r="N205" s="10" t="s">
        <v>49</v>
      </c>
      <c r="O205" s="10" t="n">
        <f aca="false">IF(F205="","",COUNTIFS($A$2:$A$234,A205,$F$2:$F$234,"&gt;"&amp;F205)+1)</f>
        <v>5</v>
      </c>
      <c r="P205" s="11" t="str">
        <f aca="false">A205&amp;"|"&amp;O205</f>
        <v>Scaffold|5</v>
      </c>
    </row>
    <row r="206" customFormat="false" ht="15" hidden="false" customHeight="false" outlineLevel="0" collapsed="false">
      <c r="A206" s="6" t="s">
        <v>43</v>
      </c>
      <c r="B206" s="7" t="n">
        <v>0.0316227766016837</v>
      </c>
      <c r="C206" s="7" t="n">
        <v>1</v>
      </c>
      <c r="D206" s="7"/>
      <c r="E206" s="6"/>
      <c r="F206" s="8" t="n">
        <v>0.481020528224918</v>
      </c>
      <c r="G206" s="8" t="n">
        <v>0.514266363001325</v>
      </c>
      <c r="H206" s="8" t="n">
        <v>0.656864064602961</v>
      </c>
      <c r="I206" s="8" t="n">
        <v>0.525936190543954</v>
      </c>
      <c r="J206" s="8" t="n">
        <v>0.334375123160965</v>
      </c>
      <c r="K206" s="8" t="n">
        <v>0.373222016079159</v>
      </c>
      <c r="L206" s="8" t="n">
        <v>0.718843843843844</v>
      </c>
      <c r="M206" s="9" t="n">
        <f aca="false">IF(COUNT(G206:L206)=6,AVERAGE(G206:L206),"")</f>
        <v>0.520584600205368</v>
      </c>
      <c r="N206" s="10" t="s">
        <v>49</v>
      </c>
      <c r="O206" s="10" t="n">
        <f aca="false">IF(F206="","",COUNTIFS($A$2:$A$234,A206,$F$2:$F$234,"&gt;"&amp;F206)+1)</f>
        <v>7</v>
      </c>
      <c r="P206" s="11" t="str">
        <f aca="false">A206&amp;"|"&amp;O206</f>
        <v>Scaffold|7</v>
      </c>
    </row>
    <row r="207" customFormat="false" ht="15" hidden="false" customHeight="false" outlineLevel="0" collapsed="false">
      <c r="A207" s="6" t="s">
        <v>43</v>
      </c>
      <c r="B207" s="7" t="n">
        <v>0.0316227766016837</v>
      </c>
      <c r="C207" s="7" t="n">
        <v>10</v>
      </c>
      <c r="D207" s="7"/>
      <c r="E207" s="6"/>
      <c r="F207" s="8" t="n">
        <v>0.14134463132434</v>
      </c>
      <c r="G207" s="8" t="n">
        <v>0.135388833910605</v>
      </c>
      <c r="H207" s="8" t="n">
        <v>0.114285714285714</v>
      </c>
      <c r="I207" s="8" t="n">
        <v>0.170286357786358</v>
      </c>
      <c r="J207" s="8" t="n">
        <v>0.173632466685304</v>
      </c>
      <c r="K207" s="8" t="n">
        <v>0.142857142857143</v>
      </c>
      <c r="L207" s="8" t="n">
        <v>0.1875</v>
      </c>
      <c r="M207" s="9" t="n">
        <f aca="false">IF(COUNT(G207:L207)=6,AVERAGE(G207:L207),"")</f>
        <v>0.153991752587521</v>
      </c>
      <c r="N207" s="10" t="s">
        <v>49</v>
      </c>
      <c r="O207" s="10" t="n">
        <f aca="false">IF(F207="","",COUNTIFS($A$2:$A$234,A207,$F$2:$F$234,"&gt;"&amp;F207)+1)</f>
        <v>21</v>
      </c>
      <c r="P207" s="11" t="str">
        <f aca="false">A207&amp;"|"&amp;O207</f>
        <v>Scaffold|21</v>
      </c>
    </row>
    <row r="208" customFormat="false" ht="15" hidden="false" customHeight="false" outlineLevel="0" collapsed="false">
      <c r="A208" s="6" t="s">
        <v>43</v>
      </c>
      <c r="B208" s="7" t="n">
        <v>0.1</v>
      </c>
      <c r="C208" s="7" t="n">
        <v>0.001</v>
      </c>
      <c r="D208" s="7"/>
      <c r="E208" s="6"/>
      <c r="F208" s="8" t="n">
        <v>0.125</v>
      </c>
      <c r="G208" s="8" t="n">
        <v>0.125</v>
      </c>
      <c r="H208" s="8" t="n">
        <v>0.2</v>
      </c>
      <c r="I208" s="8" t="n">
        <v>0.142857142857143</v>
      </c>
      <c r="J208" s="8" t="n">
        <v>0.142857142857143</v>
      </c>
      <c r="K208" s="8" t="n">
        <v>0.333333333333333</v>
      </c>
      <c r="L208" s="8" t="n">
        <v>0.25</v>
      </c>
      <c r="M208" s="9" t="n">
        <f aca="false">IF(COUNT(G208:L208)=6,AVERAGE(G208:L208),"")</f>
        <v>0.199007936507936</v>
      </c>
      <c r="N208" s="10" t="s">
        <v>49</v>
      </c>
      <c r="O208" s="10" t="n">
        <f aca="false">IF(F208="","",COUNTIFS($A$2:$A$234,A208,$F$2:$F$234,"&gt;"&amp;F208)+1)</f>
        <v>28</v>
      </c>
      <c r="P208" s="11" t="str">
        <f aca="false">A208&amp;"|"&amp;O208</f>
        <v>Scaffold|28</v>
      </c>
    </row>
    <row r="209" customFormat="false" ht="15" hidden="false" customHeight="false" outlineLevel="0" collapsed="false">
      <c r="A209" s="6" t="s">
        <v>43</v>
      </c>
      <c r="B209" s="7" t="n">
        <v>0.1</v>
      </c>
      <c r="C209" s="7" t="n">
        <v>0.0031622776601683</v>
      </c>
      <c r="D209" s="7"/>
      <c r="E209" s="6"/>
      <c r="F209" s="8" t="n">
        <v>0.125</v>
      </c>
      <c r="G209" s="8" t="n">
        <v>0.125</v>
      </c>
      <c r="H209" s="8" t="n">
        <v>0.2</v>
      </c>
      <c r="I209" s="8" t="n">
        <v>0.142857142857143</v>
      </c>
      <c r="J209" s="8" t="n">
        <v>0.142857142857143</v>
      </c>
      <c r="K209" s="8" t="n">
        <v>0.333333333333333</v>
      </c>
      <c r="L209" s="8" t="n">
        <v>0.25</v>
      </c>
      <c r="M209" s="9" t="n">
        <f aca="false">IF(COUNT(G209:L209)=6,AVERAGE(G209:L209),"")</f>
        <v>0.199007936507936</v>
      </c>
      <c r="N209" s="10" t="s">
        <v>49</v>
      </c>
      <c r="O209" s="10" t="n">
        <f aca="false">IF(F209="","",COUNTIFS($A$2:$A$234,A209,$F$2:$F$234,"&gt;"&amp;F209)+1)</f>
        <v>28</v>
      </c>
      <c r="P209" s="11" t="str">
        <f aca="false">A209&amp;"|"&amp;O209</f>
        <v>Scaffold|28</v>
      </c>
    </row>
    <row r="210" customFormat="false" ht="15" hidden="false" customHeight="false" outlineLevel="0" collapsed="false">
      <c r="A210" s="6" t="s">
        <v>43</v>
      </c>
      <c r="B210" s="7" t="n">
        <v>0.1</v>
      </c>
      <c r="C210" s="7" t="n">
        <v>0.01</v>
      </c>
      <c r="D210" s="7"/>
      <c r="E210" s="6"/>
      <c r="F210" s="8" t="n">
        <v>0.125</v>
      </c>
      <c r="G210" s="8" t="n">
        <v>0.125</v>
      </c>
      <c r="H210" s="8" t="n">
        <v>0.2</v>
      </c>
      <c r="I210" s="8" t="n">
        <v>0.142857142857143</v>
      </c>
      <c r="J210" s="8" t="n">
        <v>0.142857142857143</v>
      </c>
      <c r="K210" s="8" t="n">
        <v>0.333333333333333</v>
      </c>
      <c r="L210" s="8" t="n">
        <v>0.25</v>
      </c>
      <c r="M210" s="9" t="n">
        <f aca="false">IF(COUNT(G210:L210)=6,AVERAGE(G210:L210),"")</f>
        <v>0.199007936507936</v>
      </c>
      <c r="N210" s="10" t="s">
        <v>49</v>
      </c>
      <c r="O210" s="10" t="n">
        <f aca="false">IF(F210="","",COUNTIFS($A$2:$A$234,A210,$F$2:$F$234,"&gt;"&amp;F210)+1)</f>
        <v>28</v>
      </c>
      <c r="P210" s="11" t="str">
        <f aca="false">A210&amp;"|"&amp;O210</f>
        <v>Scaffold|28</v>
      </c>
    </row>
    <row r="211" customFormat="false" ht="15" hidden="false" customHeight="false" outlineLevel="0" collapsed="false">
      <c r="A211" s="6" t="s">
        <v>43</v>
      </c>
      <c r="B211" s="7" t="n">
        <v>0.1</v>
      </c>
      <c r="C211" s="7" t="n">
        <v>0.0316227766016837</v>
      </c>
      <c r="D211" s="7"/>
      <c r="E211" s="6"/>
      <c r="F211" s="8" t="n">
        <v>0.125</v>
      </c>
      <c r="G211" s="8" t="n">
        <v>0.125</v>
      </c>
      <c r="H211" s="8" t="n">
        <v>0.2</v>
      </c>
      <c r="I211" s="8" t="n">
        <v>0.142857142857143</v>
      </c>
      <c r="J211" s="8" t="n">
        <v>0.142857142857143</v>
      </c>
      <c r="K211" s="8" t="n">
        <v>0.333333333333333</v>
      </c>
      <c r="L211" s="8" t="n">
        <v>0.25</v>
      </c>
      <c r="M211" s="9" t="n">
        <f aca="false">IF(COUNT(G211:L211)=6,AVERAGE(G211:L211),"")</f>
        <v>0.199007936507936</v>
      </c>
      <c r="N211" s="10" t="s">
        <v>49</v>
      </c>
      <c r="O211" s="10" t="n">
        <f aca="false">IF(F211="","",COUNTIFS($A$2:$A$234,A211,$F$2:$F$234,"&gt;"&amp;F211)+1)</f>
        <v>28</v>
      </c>
      <c r="P211" s="11" t="str">
        <f aca="false">A211&amp;"|"&amp;O211</f>
        <v>Scaffold|28</v>
      </c>
    </row>
    <row r="212" customFormat="false" ht="15" hidden="false" customHeight="false" outlineLevel="0" collapsed="false">
      <c r="A212" s="6" t="s">
        <v>43</v>
      </c>
      <c r="B212" s="7" t="n">
        <v>0.1</v>
      </c>
      <c r="C212" s="7" t="n">
        <v>0.1</v>
      </c>
      <c r="D212" s="7"/>
      <c r="E212" s="6"/>
      <c r="F212" s="8" t="n">
        <v>0.125</v>
      </c>
      <c r="G212" s="8" t="n">
        <v>0.125</v>
      </c>
      <c r="H212" s="8" t="n">
        <v>0.2</v>
      </c>
      <c r="I212" s="8" t="n">
        <v>0.142857142857143</v>
      </c>
      <c r="J212" s="8" t="n">
        <v>0.142857142857143</v>
      </c>
      <c r="K212" s="8" t="n">
        <v>0.333333333333333</v>
      </c>
      <c r="L212" s="8" t="n">
        <v>0.25</v>
      </c>
      <c r="M212" s="9" t="n">
        <f aca="false">IF(COUNT(G212:L212)=6,AVERAGE(G212:L212),"")</f>
        <v>0.199007936507936</v>
      </c>
      <c r="N212" s="10" t="s">
        <v>49</v>
      </c>
      <c r="O212" s="10" t="n">
        <f aca="false">IF(F212="","",COUNTIFS($A$2:$A$234,A212,$F$2:$F$234,"&gt;"&amp;F212)+1)</f>
        <v>28</v>
      </c>
      <c r="P212" s="11" t="str">
        <f aca="false">A212&amp;"|"&amp;O212</f>
        <v>Scaffold|28</v>
      </c>
    </row>
    <row r="213" customFormat="false" ht="15" hidden="false" customHeight="false" outlineLevel="0" collapsed="false">
      <c r="A213" s="6" t="s">
        <v>43</v>
      </c>
      <c r="B213" s="7" t="n">
        <v>0.1</v>
      </c>
      <c r="C213" s="7" t="n">
        <v>0.316227766016838</v>
      </c>
      <c r="D213" s="7"/>
      <c r="E213" s="6"/>
      <c r="F213" s="8" t="n">
        <v>0.125</v>
      </c>
      <c r="G213" s="8" t="n">
        <v>0.125</v>
      </c>
      <c r="H213" s="8" t="n">
        <v>0</v>
      </c>
      <c r="I213" s="8" t="n">
        <v>0.142857142857143</v>
      </c>
      <c r="J213" s="8" t="n">
        <v>0.142857142857143</v>
      </c>
      <c r="K213" s="8" t="n">
        <v>0</v>
      </c>
      <c r="L213" s="8" t="n">
        <v>0</v>
      </c>
      <c r="M213" s="9" t="n">
        <f aca="false">IF(COUNT(G213:L213)=6,AVERAGE(G213:L213),"")</f>
        <v>0.0684523809523809</v>
      </c>
      <c r="N213" s="10" t="s">
        <v>49</v>
      </c>
      <c r="O213" s="10" t="n">
        <f aca="false">IF(F213="","",COUNTIFS($A$2:$A$234,A213,$F$2:$F$234,"&gt;"&amp;F213)+1)</f>
        <v>28</v>
      </c>
      <c r="P213" s="11" t="str">
        <f aca="false">A213&amp;"|"&amp;O213</f>
        <v>Scaffold|28</v>
      </c>
    </row>
    <row r="214" customFormat="false" ht="15" hidden="false" customHeight="false" outlineLevel="0" collapsed="false">
      <c r="A214" s="6" t="s">
        <v>43</v>
      </c>
      <c r="B214" s="7" t="n">
        <v>0.1</v>
      </c>
      <c r="C214" s="7" t="n">
        <v>1</v>
      </c>
      <c r="D214" s="7"/>
      <c r="E214" s="6"/>
      <c r="F214" s="8" t="n">
        <v>0.221771694390721</v>
      </c>
      <c r="G214" s="8" t="n">
        <v>0.219017559134466</v>
      </c>
      <c r="H214" s="8" t="n">
        <v>0.242982118823303</v>
      </c>
      <c r="I214" s="8" t="n">
        <v>0.153146033579284</v>
      </c>
      <c r="J214" s="8" t="n">
        <v>0.257684139225022</v>
      </c>
      <c r="K214" s="8" t="n">
        <v>0.185013399299114</v>
      </c>
      <c r="L214" s="8" t="n">
        <v>0.256756756756757</v>
      </c>
      <c r="M214" s="9" t="n">
        <f aca="false">IF(COUNT(G214:L214)=6,AVERAGE(G214:L214),"")</f>
        <v>0.219100001136324</v>
      </c>
      <c r="N214" s="10" t="s">
        <v>49</v>
      </c>
      <c r="O214" s="10" t="n">
        <f aca="false">IF(F214="","",COUNTIFS($A$2:$A$234,A214,$F$2:$F$234,"&gt;"&amp;F214)+1)</f>
        <v>14</v>
      </c>
      <c r="P214" s="11" t="str">
        <f aca="false">A214&amp;"|"&amp;O214</f>
        <v>Scaffold|14</v>
      </c>
    </row>
    <row r="215" customFormat="false" ht="15" hidden="false" customHeight="false" outlineLevel="0" collapsed="false">
      <c r="A215" s="12" t="s">
        <v>43</v>
      </c>
      <c r="B215" s="13" t="n">
        <v>0.1</v>
      </c>
      <c r="C215" s="13" t="n">
        <v>10</v>
      </c>
      <c r="D215" s="13"/>
      <c r="E215" s="12"/>
      <c r="F215" s="14"/>
      <c r="G215" s="14"/>
      <c r="H215" s="14"/>
      <c r="I215" s="14"/>
      <c r="J215" s="14"/>
      <c r="K215" s="14"/>
      <c r="L215" s="14"/>
      <c r="M215" s="15" t="str">
        <f aca="false">IF(COUNT(G215:L215)=6,AVERAGE(G215:L215),"")</f>
        <v/>
      </c>
      <c r="N215" s="16" t="s">
        <v>50</v>
      </c>
      <c r="O215" s="16" t="str">
        <f aca="false">IF(F215="","",COUNTIFS($A$2:$A$234,A215,$F$2:$F$234,"&gt;"&amp;F215)+1)</f>
        <v/>
      </c>
      <c r="P215" s="17" t="str">
        <f aca="false">A215&amp;"|"&amp;O215</f>
        <v>Scaffold|</v>
      </c>
    </row>
    <row r="216" customFormat="false" ht="15" hidden="false" customHeight="false" outlineLevel="0" collapsed="false">
      <c r="A216" s="6" t="s">
        <v>43</v>
      </c>
      <c r="B216" s="7" t="n">
        <v>0.316227766016838</v>
      </c>
      <c r="C216" s="7" t="n">
        <v>0.001</v>
      </c>
      <c r="D216" s="7"/>
      <c r="E216" s="6"/>
      <c r="F216" s="8" t="n">
        <v>0.125</v>
      </c>
      <c r="G216" s="8" t="n">
        <v>0.125</v>
      </c>
      <c r="H216" s="8" t="n">
        <v>0.2</v>
      </c>
      <c r="I216" s="8" t="n">
        <v>0.142857142857143</v>
      </c>
      <c r="J216" s="8" t="n">
        <v>0.142857142857143</v>
      </c>
      <c r="K216" s="8" t="n">
        <v>0.333333333333333</v>
      </c>
      <c r="L216" s="8" t="n">
        <v>0.25</v>
      </c>
      <c r="M216" s="9" t="n">
        <f aca="false">IF(COUNT(G216:L216)=6,AVERAGE(G216:L216),"")</f>
        <v>0.199007936507936</v>
      </c>
      <c r="N216" s="10" t="s">
        <v>49</v>
      </c>
      <c r="O216" s="10" t="n">
        <f aca="false">IF(F216="","",COUNTIFS($A$2:$A$234,A216,$F$2:$F$234,"&gt;"&amp;F216)+1)</f>
        <v>28</v>
      </c>
      <c r="P216" s="11" t="str">
        <f aca="false">A216&amp;"|"&amp;O216</f>
        <v>Scaffold|28</v>
      </c>
    </row>
    <row r="217" customFormat="false" ht="15" hidden="false" customHeight="false" outlineLevel="0" collapsed="false">
      <c r="A217" s="6" t="s">
        <v>43</v>
      </c>
      <c r="B217" s="7" t="n">
        <v>0.316227766016838</v>
      </c>
      <c r="C217" s="7" t="n">
        <v>0.0031622776601683</v>
      </c>
      <c r="D217" s="7"/>
      <c r="E217" s="6"/>
      <c r="F217" s="8" t="n">
        <v>0.125</v>
      </c>
      <c r="G217" s="8" t="n">
        <v>0.125</v>
      </c>
      <c r="H217" s="8" t="n">
        <v>0.2</v>
      </c>
      <c r="I217" s="8" t="n">
        <v>0.142857142857143</v>
      </c>
      <c r="J217" s="8" t="n">
        <v>0.142857142857143</v>
      </c>
      <c r="K217" s="8" t="n">
        <v>0.333333333333333</v>
      </c>
      <c r="L217" s="8" t="n">
        <v>0.25</v>
      </c>
      <c r="M217" s="9" t="n">
        <f aca="false">IF(COUNT(G217:L217)=6,AVERAGE(G217:L217),"")</f>
        <v>0.199007936507936</v>
      </c>
      <c r="N217" s="10" t="s">
        <v>49</v>
      </c>
      <c r="O217" s="10" t="n">
        <f aca="false">IF(F217="","",COUNTIFS($A$2:$A$234,A217,$F$2:$F$234,"&gt;"&amp;F217)+1)</f>
        <v>28</v>
      </c>
      <c r="P217" s="11" t="str">
        <f aca="false">A217&amp;"|"&amp;O217</f>
        <v>Scaffold|28</v>
      </c>
    </row>
    <row r="218" customFormat="false" ht="15" hidden="false" customHeight="false" outlineLevel="0" collapsed="false">
      <c r="A218" s="6" t="s">
        <v>43</v>
      </c>
      <c r="B218" s="7" t="n">
        <v>0.316227766016838</v>
      </c>
      <c r="C218" s="7" t="n">
        <v>0.01</v>
      </c>
      <c r="D218" s="7"/>
      <c r="E218" s="6"/>
      <c r="F218" s="8" t="n">
        <v>0.125</v>
      </c>
      <c r="G218" s="8" t="n">
        <v>0.125</v>
      </c>
      <c r="H218" s="8" t="n">
        <v>0.2</v>
      </c>
      <c r="I218" s="8" t="n">
        <v>0.142857142857143</v>
      </c>
      <c r="J218" s="8" t="n">
        <v>0.142857142857143</v>
      </c>
      <c r="K218" s="8" t="n">
        <v>0.333333333333333</v>
      </c>
      <c r="L218" s="8" t="n">
        <v>0.25</v>
      </c>
      <c r="M218" s="9" t="n">
        <f aca="false">IF(COUNT(G218:L218)=6,AVERAGE(G218:L218),"")</f>
        <v>0.199007936507936</v>
      </c>
      <c r="N218" s="10" t="s">
        <v>49</v>
      </c>
      <c r="O218" s="10" t="n">
        <f aca="false">IF(F218="","",COUNTIFS($A$2:$A$234,A218,$F$2:$F$234,"&gt;"&amp;F218)+1)</f>
        <v>28</v>
      </c>
      <c r="P218" s="11" t="str">
        <f aca="false">A218&amp;"|"&amp;O218</f>
        <v>Scaffold|28</v>
      </c>
    </row>
    <row r="219" customFormat="false" ht="15" hidden="false" customHeight="false" outlineLevel="0" collapsed="false">
      <c r="A219" s="6" t="s">
        <v>43</v>
      </c>
      <c r="B219" s="7" t="n">
        <v>0.316227766016838</v>
      </c>
      <c r="C219" s="7" t="n">
        <v>0.0316227766016837</v>
      </c>
      <c r="D219" s="7"/>
      <c r="E219" s="6"/>
      <c r="F219" s="8" t="n">
        <v>0.125</v>
      </c>
      <c r="G219" s="8" t="n">
        <v>0.125</v>
      </c>
      <c r="H219" s="8" t="n">
        <v>0.2</v>
      </c>
      <c r="I219" s="8" t="n">
        <v>0.142857142857143</v>
      </c>
      <c r="J219" s="8" t="n">
        <v>0.142857142857143</v>
      </c>
      <c r="K219" s="8" t="n">
        <v>0.333333333333333</v>
      </c>
      <c r="L219" s="8" t="n">
        <v>0.25</v>
      </c>
      <c r="M219" s="9" t="n">
        <f aca="false">IF(COUNT(G219:L219)=6,AVERAGE(G219:L219),"")</f>
        <v>0.199007936507936</v>
      </c>
      <c r="N219" s="10" t="s">
        <v>49</v>
      </c>
      <c r="O219" s="10" t="n">
        <f aca="false">IF(F219="","",COUNTIFS($A$2:$A$234,A219,$F$2:$F$234,"&gt;"&amp;F219)+1)</f>
        <v>28</v>
      </c>
      <c r="P219" s="11" t="str">
        <f aca="false">A219&amp;"|"&amp;O219</f>
        <v>Scaffold|28</v>
      </c>
    </row>
    <row r="220" customFormat="false" ht="15" hidden="false" customHeight="false" outlineLevel="0" collapsed="false">
      <c r="A220" s="6" t="s">
        <v>43</v>
      </c>
      <c r="B220" s="7" t="n">
        <v>0.316227766016838</v>
      </c>
      <c r="C220" s="7" t="n">
        <v>0.1</v>
      </c>
      <c r="D220" s="7"/>
      <c r="E220" s="6"/>
      <c r="F220" s="8" t="n">
        <v>0.125</v>
      </c>
      <c r="G220" s="8" t="n">
        <v>0.125</v>
      </c>
      <c r="H220" s="8" t="n">
        <v>0.2</v>
      </c>
      <c r="I220" s="8" t="n">
        <v>0.142857142857143</v>
      </c>
      <c r="J220" s="8" t="n">
        <v>0.142857142857143</v>
      </c>
      <c r="K220" s="8" t="n">
        <v>0.333333333333333</v>
      </c>
      <c r="L220" s="8" t="n">
        <v>0.25</v>
      </c>
      <c r="M220" s="9" t="n">
        <f aca="false">IF(COUNT(G220:L220)=6,AVERAGE(G220:L220),"")</f>
        <v>0.199007936507936</v>
      </c>
      <c r="N220" s="10" t="s">
        <v>49</v>
      </c>
      <c r="O220" s="10" t="n">
        <f aca="false">IF(F220="","",COUNTIFS($A$2:$A$234,A220,$F$2:$F$234,"&gt;"&amp;F220)+1)</f>
        <v>28</v>
      </c>
      <c r="P220" s="11" t="str">
        <f aca="false">A220&amp;"|"&amp;O220</f>
        <v>Scaffold|28</v>
      </c>
    </row>
    <row r="221" customFormat="false" ht="15" hidden="false" customHeight="false" outlineLevel="0" collapsed="false">
      <c r="A221" s="6" t="s">
        <v>43</v>
      </c>
      <c r="B221" s="7" t="n">
        <v>0.316227766016838</v>
      </c>
      <c r="C221" s="7" t="n">
        <v>0.316227766016838</v>
      </c>
      <c r="D221" s="7"/>
      <c r="E221" s="6"/>
      <c r="F221" s="8" t="n">
        <v>0.125</v>
      </c>
      <c r="G221" s="8" t="n">
        <v>0.125</v>
      </c>
      <c r="H221" s="8" t="n">
        <v>0.2</v>
      </c>
      <c r="I221" s="8" t="n">
        <v>0.142857142857143</v>
      </c>
      <c r="J221" s="8" t="n">
        <v>0.142857142857143</v>
      </c>
      <c r="K221" s="8" t="n">
        <v>0.333333333333333</v>
      </c>
      <c r="L221" s="8" t="n">
        <v>0.25</v>
      </c>
      <c r="M221" s="9" t="n">
        <f aca="false">IF(COUNT(G221:L221)=6,AVERAGE(G221:L221),"")</f>
        <v>0.199007936507936</v>
      </c>
      <c r="N221" s="10" t="s">
        <v>49</v>
      </c>
      <c r="O221" s="10" t="n">
        <f aca="false">IF(F221="","",COUNTIFS($A$2:$A$234,A221,$F$2:$F$234,"&gt;"&amp;F221)+1)</f>
        <v>28</v>
      </c>
      <c r="P221" s="11" t="str">
        <f aca="false">A221&amp;"|"&amp;O221</f>
        <v>Scaffold|28</v>
      </c>
    </row>
    <row r="222" customFormat="false" ht="15" hidden="false" customHeight="false" outlineLevel="0" collapsed="false">
      <c r="A222" s="6" t="s">
        <v>43</v>
      </c>
      <c r="B222" s="7" t="n">
        <v>0.316227766016838</v>
      </c>
      <c r="C222" s="7" t="n">
        <v>1</v>
      </c>
      <c r="D222" s="7"/>
      <c r="E222" s="6"/>
      <c r="F222" s="8" t="n">
        <v>0.125</v>
      </c>
      <c r="G222" s="8" t="n">
        <v>0.125</v>
      </c>
      <c r="H222" s="8" t="n">
        <v>0.2</v>
      </c>
      <c r="I222" s="8" t="n">
        <v>0.142857142857143</v>
      </c>
      <c r="J222" s="8" t="n">
        <v>0.142857142857143</v>
      </c>
      <c r="K222" s="8" t="n">
        <v>0.333333333333333</v>
      </c>
      <c r="L222" s="8" t="n">
        <v>0.25</v>
      </c>
      <c r="M222" s="9" t="n">
        <f aca="false">IF(COUNT(G222:L222)=6,AVERAGE(G222:L222),"")</f>
        <v>0.199007936507936</v>
      </c>
      <c r="N222" s="10" t="s">
        <v>49</v>
      </c>
      <c r="O222" s="10" t="n">
        <f aca="false">IF(F222="","",COUNTIFS($A$2:$A$234,A222,$F$2:$F$234,"&gt;"&amp;F222)+1)</f>
        <v>28</v>
      </c>
      <c r="P222" s="11" t="str">
        <f aca="false">A222&amp;"|"&amp;O222</f>
        <v>Scaffold|28</v>
      </c>
    </row>
    <row r="223" customFormat="false" ht="15" hidden="false" customHeight="false" outlineLevel="0" collapsed="false">
      <c r="A223" s="12" t="s">
        <v>43</v>
      </c>
      <c r="B223" s="13" t="n">
        <v>0.316227766016838</v>
      </c>
      <c r="C223" s="13" t="n">
        <v>10</v>
      </c>
      <c r="D223" s="13"/>
      <c r="E223" s="12"/>
      <c r="F223" s="14"/>
      <c r="G223" s="14"/>
      <c r="H223" s="14"/>
      <c r="I223" s="14"/>
      <c r="J223" s="14"/>
      <c r="K223" s="14"/>
      <c r="L223" s="14"/>
      <c r="M223" s="15" t="str">
        <f aca="false">IF(COUNT(G223:L223)=6,AVERAGE(G223:L223),"")</f>
        <v/>
      </c>
      <c r="N223" s="16" t="s">
        <v>50</v>
      </c>
      <c r="O223" s="16" t="str">
        <f aca="false">IF(F223="","",COUNTIFS($A$2:$A$234,A223,$F$2:$F$234,"&gt;"&amp;F223)+1)</f>
        <v/>
      </c>
      <c r="P223" s="17" t="str">
        <f aca="false">A223&amp;"|"&amp;O223</f>
        <v>Scaffold|</v>
      </c>
    </row>
    <row r="224" customFormat="false" ht="15" hidden="false" customHeight="false" outlineLevel="0" collapsed="false">
      <c r="A224" s="6" t="s">
        <v>44</v>
      </c>
      <c r="B224" s="7" t="n">
        <v>0.001</v>
      </c>
      <c r="C224" s="7"/>
      <c r="D224" s="7"/>
      <c r="E224" s="6"/>
      <c r="F224" s="8" t="n">
        <v>0.401582697970978</v>
      </c>
      <c r="G224" s="8" t="n">
        <v>0.412079782172412</v>
      </c>
      <c r="H224" s="8" t="n">
        <v>0.451513597812387</v>
      </c>
      <c r="I224" s="8" t="n">
        <v>0.553559179496433</v>
      </c>
      <c r="J224" s="8" t="n">
        <v>0.34181800501889</v>
      </c>
      <c r="K224" s="8" t="n">
        <v>0.165326736755308</v>
      </c>
      <c r="L224" s="8" t="n">
        <v>0.532282282282282</v>
      </c>
      <c r="M224" s="9" t="n">
        <f aca="false">IF(COUNT(G224:L224)=6,AVERAGE(G224:L224),"")</f>
        <v>0.409429930589619</v>
      </c>
      <c r="N224" s="10" t="s">
        <v>49</v>
      </c>
      <c r="O224" s="10" t="n">
        <f aca="false">IF(F224="","",COUNTIFS($A$2:$A$234,A224,$F$2:$F$234,"&gt;"&amp;F224)+1)</f>
        <v>3</v>
      </c>
      <c r="P224" s="11" t="str">
        <f aca="false">A224&amp;"|"&amp;O224</f>
        <v>Cyclic|3</v>
      </c>
    </row>
    <row r="225" customFormat="false" ht="15" hidden="false" customHeight="false" outlineLevel="0" collapsed="false">
      <c r="A225" s="6" t="s">
        <v>44</v>
      </c>
      <c r="B225" s="7" t="n">
        <v>0.0031622776601683</v>
      </c>
      <c r="C225" s="7"/>
      <c r="D225" s="7"/>
      <c r="E225" s="6"/>
      <c r="F225" s="8" t="n">
        <v>0.406490355535516</v>
      </c>
      <c r="G225" s="8" t="n">
        <v>0.443486037656492</v>
      </c>
      <c r="H225" s="8" t="n">
        <v>0.273682411502062</v>
      </c>
      <c r="I225" s="8" t="n">
        <v>0.528934910122192</v>
      </c>
      <c r="J225" s="8" t="n">
        <v>0.402213490301638</v>
      </c>
      <c r="K225" s="8" t="n">
        <v>0.237579880437023</v>
      </c>
      <c r="L225" s="8" t="n">
        <v>0.589714714714715</v>
      </c>
      <c r="M225" s="9" t="n">
        <f aca="false">IF(COUNT(G225:L225)=6,AVERAGE(G225:L225),"")</f>
        <v>0.412601907455687</v>
      </c>
      <c r="N225" s="10" t="s">
        <v>49</v>
      </c>
      <c r="O225" s="10" t="n">
        <f aca="false">IF(F225="","",COUNTIFS($A$2:$A$234,A225,$F$2:$F$234,"&gt;"&amp;F225)+1)</f>
        <v>2</v>
      </c>
      <c r="P225" s="11" t="str">
        <f aca="false">A225&amp;"|"&amp;O225</f>
        <v>Cyclic|2</v>
      </c>
    </row>
    <row r="226" customFormat="false" ht="15" hidden="false" customHeight="false" outlineLevel="0" collapsed="false">
      <c r="A226" s="6" t="s">
        <v>44</v>
      </c>
      <c r="B226" s="7" t="n">
        <v>0.01</v>
      </c>
      <c r="C226" s="7"/>
      <c r="D226" s="7"/>
      <c r="E226" s="6"/>
      <c r="F226" s="8" t="n">
        <v>0.410320583082884</v>
      </c>
      <c r="G226" s="8" t="n">
        <v>0.414768208345038</v>
      </c>
      <c r="H226" s="8" t="n">
        <v>0.467433613194044</v>
      </c>
      <c r="I226" s="8" t="n">
        <v>0.542849570329416</v>
      </c>
      <c r="J226" s="8" t="n">
        <v>0.339350955066092</v>
      </c>
      <c r="K226" s="8" t="n">
        <v>0.241702741702742</v>
      </c>
      <c r="L226" s="8" t="n">
        <v>0.588025525525526</v>
      </c>
      <c r="M226" s="9" t="n">
        <f aca="false">IF(COUNT(G226:L226)=6,AVERAGE(G226:L226),"")</f>
        <v>0.432355102360476</v>
      </c>
      <c r="N226" s="10" t="s">
        <v>49</v>
      </c>
      <c r="O226" s="10" t="n">
        <f aca="false">IF(F226="","",COUNTIFS($A$2:$A$234,A226,$F$2:$F$234,"&gt;"&amp;F226)+1)</f>
        <v>1</v>
      </c>
      <c r="P226" s="11" t="str">
        <f aca="false">A226&amp;"|"&amp;O226</f>
        <v>Cyclic|1</v>
      </c>
    </row>
    <row r="227" customFormat="false" ht="15" hidden="false" customHeight="false" outlineLevel="0" collapsed="false">
      <c r="A227" s="6" t="s">
        <v>44</v>
      </c>
      <c r="B227" s="7" t="n">
        <v>0.0316227766016837</v>
      </c>
      <c r="C227" s="7"/>
      <c r="D227" s="7"/>
      <c r="E227" s="6"/>
      <c r="F227" s="8" t="n">
        <v>0.25195740226076</v>
      </c>
      <c r="G227" s="8" t="n">
        <v>0.210549966065282</v>
      </c>
      <c r="H227" s="8" t="n">
        <v>0.494942211967784</v>
      </c>
      <c r="I227" s="8" t="n">
        <v>0.240129761933235</v>
      </c>
      <c r="J227" s="8" t="n">
        <v>0.262376134600248</v>
      </c>
      <c r="K227" s="8" t="n">
        <v>0.289734075448361</v>
      </c>
      <c r="L227" s="8" t="n">
        <v>0.273648648648649</v>
      </c>
      <c r="M227" s="9" t="n">
        <f aca="false">IF(COUNT(G227:L227)=6,AVERAGE(G227:L227),"")</f>
        <v>0.295230133110593</v>
      </c>
      <c r="N227" s="10" t="s">
        <v>49</v>
      </c>
      <c r="O227" s="10" t="n">
        <f aca="false">IF(F227="","",COUNTIFS($A$2:$A$234,A227,$F$2:$F$234,"&gt;"&amp;F227)+1)</f>
        <v>4</v>
      </c>
      <c r="P227" s="11" t="str">
        <f aca="false">A227&amp;"|"&amp;O227</f>
        <v>Cyclic|4</v>
      </c>
    </row>
    <row r="228" customFormat="false" ht="15" hidden="false" customHeight="false" outlineLevel="0" collapsed="false">
      <c r="A228" s="6" t="s">
        <v>44</v>
      </c>
      <c r="B228" s="7" t="n">
        <v>0.1</v>
      </c>
      <c r="C228" s="7"/>
      <c r="D228" s="7"/>
      <c r="E228" s="6"/>
      <c r="F228" s="8" t="n">
        <v>0.114388944133252</v>
      </c>
      <c r="G228" s="8" t="n">
        <v>0.111391231697134</v>
      </c>
      <c r="H228" s="8" t="n">
        <v>0.0691117092866756</v>
      </c>
      <c r="I228" s="8" t="n">
        <v>0.137823341115708</v>
      </c>
      <c r="J228" s="8" t="n">
        <v>0.17221577027584</v>
      </c>
      <c r="K228" s="8" t="n">
        <v>0.175633889919604</v>
      </c>
      <c r="L228" s="8" t="n">
        <v>0.0412912912912912</v>
      </c>
      <c r="M228" s="9" t="n">
        <f aca="false">IF(COUNT(G228:L228)=6,AVERAGE(G228:L228),"")</f>
        <v>0.117911205597709</v>
      </c>
      <c r="N228" s="10" t="s">
        <v>49</v>
      </c>
      <c r="O228" s="10" t="n">
        <f aca="false">IF(F228="","",COUNTIFS($A$2:$A$234,A228,$F$2:$F$234,"&gt;"&amp;F228)+1)</f>
        <v>6</v>
      </c>
      <c r="P228" s="11" t="str">
        <f aca="false">A228&amp;"|"&amp;O228</f>
        <v>Cyclic|6</v>
      </c>
    </row>
    <row r="229" customFormat="false" ht="15" hidden="false" customHeight="false" outlineLevel="0" collapsed="false">
      <c r="A229" s="6" t="s">
        <v>44</v>
      </c>
      <c r="B229" s="7" t="n">
        <v>0.316227766016838</v>
      </c>
      <c r="C229" s="7"/>
      <c r="D229" s="7"/>
      <c r="E229" s="6"/>
      <c r="F229" s="8" t="n">
        <v>0.115110439463534</v>
      </c>
      <c r="G229" s="8" t="n">
        <v>0.123946569844618</v>
      </c>
      <c r="H229" s="8" t="n">
        <v>0.0873934499775684</v>
      </c>
      <c r="I229" s="8" t="n">
        <v>0.0321326110028331</v>
      </c>
      <c r="J229" s="8" t="n">
        <v>0.125568013766772</v>
      </c>
      <c r="K229" s="8" t="n">
        <v>0.0219542362399505</v>
      </c>
      <c r="L229" s="8" t="n">
        <v>0.0236486486486486</v>
      </c>
      <c r="M229" s="9" t="n">
        <f aca="false">IF(COUNT(G229:L229)=6,AVERAGE(G229:L229),"")</f>
        <v>0.0691072549133983</v>
      </c>
      <c r="N229" s="10" t="s">
        <v>49</v>
      </c>
      <c r="O229" s="10" t="n">
        <f aca="false">IF(F229="","",COUNTIFS($A$2:$A$234,A229,$F$2:$F$234,"&gt;"&amp;F229)+1)</f>
        <v>5</v>
      </c>
      <c r="P229" s="11" t="str">
        <f aca="false">A229&amp;"|"&amp;O229</f>
        <v>Cyclic|5</v>
      </c>
    </row>
    <row r="230" customFormat="false" ht="15" hidden="false" customHeight="false" outlineLevel="0" collapsed="false">
      <c r="A230" s="6" t="s">
        <v>45</v>
      </c>
      <c r="B230" s="7" t="n">
        <v>0.001</v>
      </c>
      <c r="C230" s="7"/>
      <c r="D230" s="7"/>
      <c r="E230" s="6" t="n">
        <v>3</v>
      </c>
      <c r="F230" s="8" t="n">
        <v>0.499481207561164</v>
      </c>
      <c r="G230" s="8" t="n">
        <v>0.492027239026508</v>
      </c>
      <c r="H230" s="8" t="n">
        <v>0.619352047683138</v>
      </c>
      <c r="I230" s="8" t="n">
        <v>0.524746358866609</v>
      </c>
      <c r="J230" s="8" t="n">
        <v>0.445417804351694</v>
      </c>
      <c r="K230" s="8" t="n">
        <v>0.38682745825603</v>
      </c>
      <c r="L230" s="8" t="n">
        <v>0.576951951951952</v>
      </c>
      <c r="M230" s="9" t="n">
        <f aca="false">IF(COUNT(G230:L230)=6,AVERAGE(G230:L230),"")</f>
        <v>0.507553810022655</v>
      </c>
      <c r="N230" s="10" t="s">
        <v>49</v>
      </c>
      <c r="O230" s="10" t="n">
        <f aca="false">IF(F230="","",COUNTIFS($A$2:$A$234,A230,$F$2:$F$234,"&gt;"&amp;F230)+1)</f>
        <v>4</v>
      </c>
      <c r="P230" s="11" t="str">
        <f aca="false">A230&amp;"|"&amp;O230</f>
        <v>FedAvgFineTuning|4</v>
      </c>
    </row>
    <row r="231" customFormat="false" ht="15" hidden="false" customHeight="false" outlineLevel="0" collapsed="false">
      <c r="A231" s="6" t="s">
        <v>45</v>
      </c>
      <c r="B231" s="7" t="n">
        <v>0.0031622776601683</v>
      </c>
      <c r="C231" s="7"/>
      <c r="D231" s="7"/>
      <c r="E231" s="6" t="n">
        <v>3</v>
      </c>
      <c r="F231" s="8" t="n">
        <v>0.570117298944718</v>
      </c>
      <c r="G231" s="8" t="n">
        <v>0.57775007419907</v>
      </c>
      <c r="H231" s="8" t="n">
        <v>0.604672178427226</v>
      </c>
      <c r="I231" s="8" t="n">
        <v>0.704427003717369</v>
      </c>
      <c r="J231" s="8" t="n">
        <v>0.494967739654203</v>
      </c>
      <c r="K231" s="8" t="n">
        <v>0.38682745825603</v>
      </c>
      <c r="L231" s="8" t="n">
        <v>0.663851351351351</v>
      </c>
      <c r="M231" s="9" t="n">
        <f aca="false">IF(COUNT(G231:L231)=6,AVERAGE(G231:L231),"")</f>
        <v>0.572082634267542</v>
      </c>
      <c r="N231" s="10" t="s">
        <v>49</v>
      </c>
      <c r="O231" s="10" t="n">
        <f aca="false">IF(F231="","",COUNTIFS($A$2:$A$234,A231,$F$2:$F$234,"&gt;"&amp;F231)+1)</f>
        <v>2</v>
      </c>
      <c r="P231" s="11" t="str">
        <f aca="false">A231&amp;"|"&amp;O231</f>
        <v>FedAvgFineTuning|2</v>
      </c>
    </row>
    <row r="232" customFormat="false" ht="15" hidden="false" customHeight="false" outlineLevel="0" collapsed="false">
      <c r="A232" s="6" t="s">
        <v>45</v>
      </c>
      <c r="B232" s="7" t="n">
        <v>0.01</v>
      </c>
      <c r="C232" s="7"/>
      <c r="D232" s="7"/>
      <c r="E232" s="6" t="n">
        <v>3</v>
      </c>
      <c r="F232" s="8" t="n">
        <v>0.617704367419006</v>
      </c>
      <c r="G232" s="8" t="n">
        <v>0.642358311113312</v>
      </c>
      <c r="H232" s="8" t="n">
        <v>0.711238223418573</v>
      </c>
      <c r="I232" s="8" t="n">
        <v>0.707609750744546</v>
      </c>
      <c r="J232" s="8" t="n">
        <v>0.539749655885962</v>
      </c>
      <c r="K232" s="8" t="n">
        <v>0.329107400535972</v>
      </c>
      <c r="L232" s="8" t="n">
        <v>0.725600600600601</v>
      </c>
      <c r="M232" s="9" t="n">
        <f aca="false">IF(COUNT(G232:L232)=6,AVERAGE(G232:L232),"")</f>
        <v>0.609277323716494</v>
      </c>
      <c r="N232" s="10" t="s">
        <v>49</v>
      </c>
      <c r="O232" s="10" t="n">
        <f aca="false">IF(F232="","",COUNTIFS($A$2:$A$234,A232,$F$2:$F$234,"&gt;"&amp;F232)+1)</f>
        <v>1</v>
      </c>
      <c r="P232" s="11" t="str">
        <f aca="false">A232&amp;"|"&amp;O232</f>
        <v>FedAvgFineTuning|1</v>
      </c>
    </row>
    <row r="233" customFormat="false" ht="15" hidden="false" customHeight="false" outlineLevel="0" collapsed="false">
      <c r="A233" s="6" t="s">
        <v>45</v>
      </c>
      <c r="B233" s="7" t="n">
        <v>0.0316227766016837</v>
      </c>
      <c r="C233" s="7"/>
      <c r="D233" s="7"/>
      <c r="E233" s="6" t="n">
        <v>3</v>
      </c>
      <c r="F233" s="8" t="n">
        <v>0.519900027695854</v>
      </c>
      <c r="G233" s="8" t="n">
        <v>0.524460839150536</v>
      </c>
      <c r="H233" s="8" t="n">
        <v>0.591357431263219</v>
      </c>
      <c r="I233" s="8" t="n">
        <v>0.678528106905742</v>
      </c>
      <c r="J233" s="8" t="n">
        <v>0.409822563493967</v>
      </c>
      <c r="K233" s="8" t="n">
        <v>0.353019995877139</v>
      </c>
      <c r="L233" s="8" t="n">
        <v>0.631944444444444</v>
      </c>
      <c r="M233" s="9" t="n">
        <f aca="false">IF(COUNT(G233:L233)=6,AVERAGE(G233:L233),"")</f>
        <v>0.531522230189174</v>
      </c>
      <c r="N233" s="10" t="s">
        <v>49</v>
      </c>
      <c r="O233" s="10" t="n">
        <f aca="false">IF(F233="","",COUNTIFS($A$2:$A$234,A233,$F$2:$F$234,"&gt;"&amp;F233)+1)</f>
        <v>3</v>
      </c>
      <c r="P233" s="11" t="str">
        <f aca="false">A233&amp;"|"&amp;O233</f>
        <v>FedAvgFineTuning|3</v>
      </c>
    </row>
    <row r="234" customFormat="false" ht="15" hidden="false" customHeight="false" outlineLevel="0" collapsed="false">
      <c r="A234" s="6" t="s">
        <v>45</v>
      </c>
      <c r="B234" s="7" t="n">
        <v>0.1</v>
      </c>
      <c r="C234" s="7"/>
      <c r="D234" s="7"/>
      <c r="E234" s="6" t="n">
        <v>3</v>
      </c>
      <c r="F234" s="8" t="n">
        <v>0.321248000762098</v>
      </c>
      <c r="G234" s="8" t="n">
        <v>0.28509544752718</v>
      </c>
      <c r="H234" s="8" t="n">
        <v>0.390953662757162</v>
      </c>
      <c r="I234" s="8" t="n">
        <v>0.375276447652843</v>
      </c>
      <c r="J234" s="8" t="n">
        <v>0.269876568311011</v>
      </c>
      <c r="K234" s="8" t="n">
        <v>0.182642754071326</v>
      </c>
      <c r="L234" s="8" t="n">
        <v>0.495870870870871</v>
      </c>
      <c r="M234" s="9" t="n">
        <f aca="false">IF(COUNT(G234:L234)=6,AVERAGE(G234:L234),"")</f>
        <v>0.333285958531732</v>
      </c>
      <c r="N234" s="10" t="s">
        <v>49</v>
      </c>
      <c r="O234" s="10" t="n">
        <f aca="false">IF(F234="","",COUNTIFS($A$2:$A$234,A234,$F$2:$F$234,"&gt;"&amp;F234)+1)</f>
        <v>5</v>
      </c>
      <c r="P234" s="11" t="str">
        <f aca="false">A234&amp;"|"&amp;O234</f>
        <v>FedAvgFineTuning|5</v>
      </c>
    </row>
  </sheetData>
  <autoFilter ref="A1:P2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</row>
    <row r="2" customFormat="false" ht="15" hidden="false" customHeight="false" outlineLevel="0" collapsed="false">
      <c r="A2" s="8" t="s">
        <v>38</v>
      </c>
      <c r="B2" s="18" t="n">
        <f aca="false">COUNTIFS(Malla!$A$2:$A$234,A2,Malla!$N$2:$N$234,"ok")</f>
        <v>6</v>
      </c>
      <c r="C2" s="8" t="n">
        <f aca="false">_xlfn.MAXIFS(Malla!$F$2:$F$234,Malla!$A$2:$A$234,A2)</f>
        <v>0.590984568399229</v>
      </c>
      <c r="D2" s="7" t="n">
        <f aca="false">INDEX(Malla!$B$2:$B$234,MATCH($A2&amp;"|1",Malla!$P$2:$P$234,0))</f>
        <v>0.01</v>
      </c>
      <c r="E2" s="7" t="str">
        <f aca="false">IF(INDEX(Malla!$C$2:$C$234,MATCH($A2&amp;"|1",Malla!$P$2:$P$234,0))="","",INDEX(Malla!$C$2:$C$234,MATCH($A2&amp;"|1",Malla!$P$2:$P$234,0)))</f>
        <v/>
      </c>
      <c r="F2" s="7" t="str">
        <f aca="false">IF(INDEX(Malla!$D$2:$D$234,MATCH($A2&amp;"|1",Malla!$P$2:$P$234,0))="","",INDEX(Malla!$D$2:$D$234,MATCH($A2&amp;"|1",Malla!$P$2:$P$234,0)))</f>
        <v/>
      </c>
      <c r="G2" s="8" t="n">
        <f aca="false">INDEX(Benchmark!$F$2:$F$16,MATCH(A2,Benchmark!$A$2:$A$16,0))</f>
        <v>0.578040381356732</v>
      </c>
      <c r="H2" s="8" t="n">
        <f aca="false">C2-G2</f>
        <v>0.0129441870424969</v>
      </c>
      <c r="I2" s="8" t="n">
        <f aca="false">_xlfn.MINIFS(Malla!$F$2:$F$234,Malla!$A$2:$A$234,A2)</f>
        <v>0.228531099177328</v>
      </c>
    </row>
    <row r="3" customFormat="false" ht="15" hidden="false" customHeight="false" outlineLevel="0" collapsed="false">
      <c r="A3" s="8" t="s">
        <v>39</v>
      </c>
      <c r="B3" s="18" t="n">
        <f aca="false">COUNTIFS(Malla!$A$2:$A$234,A3,Malla!$N$2:$N$234,"ok")</f>
        <v>24</v>
      </c>
      <c r="C3" s="8" t="n">
        <f aca="false">_xlfn.MAXIFS(Malla!$F$2:$F$234,Malla!$A$2:$A$234,A3)</f>
        <v>0.618180873342815</v>
      </c>
      <c r="D3" s="7" t="n">
        <f aca="false">INDEX(Malla!$B$2:$B$234,MATCH($A3&amp;"|1",Malla!$P$2:$P$234,0))</f>
        <v>0.01</v>
      </c>
      <c r="E3" s="7" t="str">
        <f aca="false">IF(INDEX(Malla!$C$2:$C$234,MATCH($A3&amp;"|1",Malla!$P$2:$P$234,0))="","",INDEX(Malla!$C$2:$C$234,MATCH($A3&amp;"|1",Malla!$P$2:$P$234,0)))</f>
        <v/>
      </c>
      <c r="F3" s="7" t="n">
        <f aca="false">IF(INDEX(Malla!$D$2:$D$234,MATCH($A3&amp;"|1",Malla!$P$2:$P$234,0))="","",INDEX(Malla!$D$2:$D$234,MATCH($A3&amp;"|1",Malla!$P$2:$P$234,0)))</f>
        <v>0.01</v>
      </c>
      <c r="G3" s="8" t="n">
        <f aca="false">INDEX(Benchmark!$F$2:$F$16,MATCH(A3,Benchmark!$A$2:$A$16,0))</f>
        <v>0.58924230973093</v>
      </c>
      <c r="H3" s="8" t="n">
        <f aca="false">C3-G3</f>
        <v>0.0289385636118841</v>
      </c>
      <c r="I3" s="8" t="n">
        <f aca="false">_xlfn.MINIFS(Malla!$F$2:$F$234,Malla!$A$2:$A$234,A3)</f>
        <v>0.130010299626091</v>
      </c>
    </row>
    <row r="4" customFormat="false" ht="15" hidden="false" customHeight="false" outlineLevel="0" collapsed="false">
      <c r="A4" s="8" t="s">
        <v>40</v>
      </c>
      <c r="B4" s="18" t="n">
        <f aca="false">COUNTIFS(Malla!$A$2:$A$234,A4,Malla!$N$2:$N$234,"ok")</f>
        <v>35</v>
      </c>
      <c r="C4" s="8" t="n">
        <f aca="false">_xlfn.MAXIFS(Malla!$F$2:$F$234,Malla!$A$2:$A$234,A4)</f>
        <v>0.585947982037613</v>
      </c>
      <c r="D4" s="7" t="n">
        <f aca="false">INDEX(Malla!$B$2:$B$234,MATCH($A4&amp;"|1",Malla!$P$2:$P$234,0))</f>
        <v>0.01</v>
      </c>
      <c r="E4" s="7" t="n">
        <f aca="false">IF(INDEX(Malla!$C$2:$C$234,MATCH($A4&amp;"|1",Malla!$P$2:$P$234,0))="","",INDEX(Malla!$C$2:$C$234,MATCH($A4&amp;"|1",Malla!$P$2:$P$234,0)))</f>
        <v>0.0031622776601683</v>
      </c>
      <c r="F4" s="7" t="str">
        <f aca="false">IF(INDEX(Malla!$D$2:$D$234,MATCH($A4&amp;"|1",Malla!$P$2:$P$234,0))="","",INDEX(Malla!$D$2:$D$234,MATCH($A4&amp;"|1",Malla!$P$2:$P$234,0)))</f>
        <v/>
      </c>
      <c r="G4" s="8" t="n">
        <f aca="false">INDEX(Benchmark!$F$2:$F$16,MATCH(A4,Benchmark!$A$2:$A$16,0))</f>
        <v>0.589959824898343</v>
      </c>
      <c r="H4" s="8" t="n">
        <f aca="false">C4-G4</f>
        <v>-0.00401184286072986</v>
      </c>
      <c r="I4" s="8" t="n">
        <f aca="false">_xlfn.MINIFS(Malla!$F$2:$F$234,Malla!$A$2:$A$234,A4)</f>
        <v>0.124967672171456</v>
      </c>
    </row>
    <row r="5" customFormat="false" ht="15" hidden="false" customHeight="false" outlineLevel="0" collapsed="false">
      <c r="A5" s="8" t="s">
        <v>41</v>
      </c>
      <c r="B5" s="18" t="n">
        <f aca="false">COUNTIFS(Malla!$A$2:$A$234,A5,Malla!$N$2:$N$234,"ok")</f>
        <v>36</v>
      </c>
      <c r="C5" s="8" t="n">
        <f aca="false">_xlfn.MAXIFS(Malla!$F$2:$F$234,Malla!$A$2:$A$234,A5)</f>
        <v>0.579206731879326</v>
      </c>
      <c r="D5" s="7" t="n">
        <f aca="false">INDEX(Malla!$B$2:$B$234,MATCH($A5&amp;"|1",Malla!$P$2:$P$234,0))</f>
        <v>0.0031622776601683</v>
      </c>
      <c r="E5" s="7" t="n">
        <f aca="false">IF(INDEX(Malla!$C$2:$C$234,MATCH($A5&amp;"|1",Malla!$P$2:$P$234,0))="","",INDEX(Malla!$C$2:$C$234,MATCH($A5&amp;"|1",Malla!$P$2:$P$234,0)))</f>
        <v>0.0031622776601683</v>
      </c>
      <c r="F5" s="7" t="str">
        <f aca="false">IF(INDEX(Malla!$D$2:$D$234,MATCH($A5&amp;"|1",Malla!$P$2:$P$234,0))="","",INDEX(Malla!$D$2:$D$234,MATCH($A5&amp;"|1",Malla!$P$2:$P$234,0)))</f>
        <v/>
      </c>
      <c r="G5" s="8" t="n">
        <f aca="false">INDEX(Benchmark!$F$2:$F$16,MATCH(A5,Benchmark!$A$2:$A$16,0))</f>
        <v>0.56305463267471</v>
      </c>
      <c r="H5" s="8" t="n">
        <f aca="false">C5-G5</f>
        <v>0.0161520992046161</v>
      </c>
      <c r="I5" s="8" t="n">
        <f aca="false">_xlfn.MINIFS(Malla!$F$2:$F$234,Malla!$A$2:$A$234,A5)</f>
        <v>0.125</v>
      </c>
    </row>
    <row r="6" customFormat="false" ht="15" hidden="false" customHeight="false" outlineLevel="0" collapsed="false">
      <c r="A6" s="8" t="s">
        <v>42</v>
      </c>
      <c r="B6" s="18" t="n">
        <f aca="false">COUNTIFS(Malla!$A$2:$A$234,A6,Malla!$N$2:$N$234,"ok")</f>
        <v>43</v>
      </c>
      <c r="C6" s="8" t="n">
        <f aca="false">_xlfn.MAXIFS(Malla!$F$2:$F$234,Malla!$A$2:$A$234,A6)</f>
        <v>0.574557224101711</v>
      </c>
      <c r="D6" s="7" t="n">
        <f aca="false">INDEX(Malla!$B$2:$B$234,MATCH($A6&amp;"|1",Malla!$P$2:$P$234,0))</f>
        <v>0.01</v>
      </c>
      <c r="E6" s="7" t="n">
        <f aca="false">IF(INDEX(Malla!$C$2:$C$234,MATCH($A6&amp;"|1",Malla!$P$2:$P$234,0))="","",INDEX(Malla!$C$2:$C$234,MATCH($A6&amp;"|1",Malla!$P$2:$P$234,0)))</f>
        <v>0.01</v>
      </c>
      <c r="F6" s="7" t="str">
        <f aca="false">IF(INDEX(Malla!$D$2:$D$234,MATCH($A6&amp;"|1",Malla!$P$2:$P$234,0))="","",INDEX(Malla!$D$2:$D$234,MATCH($A6&amp;"|1",Malla!$P$2:$P$234,0)))</f>
        <v/>
      </c>
      <c r="G6" s="8" t="n">
        <f aca="false">INDEX(Benchmark!$F$2:$F$16,MATCH(A6,Benchmark!$A$2:$A$16,0))</f>
        <v>0.544616346937807</v>
      </c>
      <c r="H6" s="8" t="n">
        <f aca="false">C6-G6</f>
        <v>0.0299408771639038</v>
      </c>
      <c r="I6" s="8" t="n">
        <f aca="false">_xlfn.MINIFS(Malla!$F$2:$F$234,Malla!$A$2:$A$234,A6)</f>
        <v>0.0981210737905026</v>
      </c>
    </row>
    <row r="7" customFormat="false" ht="15" hidden="false" customHeight="false" outlineLevel="0" collapsed="false">
      <c r="A7" s="8" t="s">
        <v>43</v>
      </c>
      <c r="B7" s="18" t="n">
        <f aca="false">COUNTIFS(Malla!$A$2:$A$234,A7,Malla!$N$2:$N$234,"ok")</f>
        <v>46</v>
      </c>
      <c r="C7" s="8" t="n">
        <f aca="false">_xlfn.MAXIFS(Malla!$F$2:$F$234,Malla!$A$2:$A$234,A7)</f>
        <v>0.609267092852203</v>
      </c>
      <c r="D7" s="7" t="n">
        <f aca="false">INDEX(Malla!$B$2:$B$234,MATCH($A7&amp;"|1",Malla!$P$2:$P$234,0))</f>
        <v>0.01</v>
      </c>
      <c r="E7" s="7" t="n">
        <f aca="false">IF(INDEX(Malla!$C$2:$C$234,MATCH($A7&amp;"|1",Malla!$P$2:$P$234,0))="","",INDEX(Malla!$C$2:$C$234,MATCH($A7&amp;"|1",Malla!$P$2:$P$234,0)))</f>
        <v>1</v>
      </c>
      <c r="F7" s="7" t="str">
        <f aca="false">IF(INDEX(Malla!$D$2:$D$234,MATCH($A7&amp;"|1",Malla!$P$2:$P$234,0))="","",INDEX(Malla!$D$2:$D$234,MATCH($A7&amp;"|1",Malla!$P$2:$P$234,0)))</f>
        <v/>
      </c>
      <c r="G7" s="8" t="n">
        <f aca="false">INDEX(Benchmark!$F$2:$F$16,MATCH(A7,Benchmark!$A$2:$A$16,0))</f>
        <v>0.615720874203297</v>
      </c>
      <c r="H7" s="8" t="n">
        <f aca="false">C7-G7</f>
        <v>-0.00645378135109387</v>
      </c>
      <c r="I7" s="8" t="n">
        <f aca="false">_xlfn.MINIFS(Malla!$F$2:$F$234,Malla!$A$2:$A$234,A7)</f>
        <v>0.0875434508960623</v>
      </c>
    </row>
    <row r="8" customFormat="false" ht="15" hidden="false" customHeight="false" outlineLevel="0" collapsed="false">
      <c r="A8" s="8" t="s">
        <v>44</v>
      </c>
      <c r="B8" s="18" t="n">
        <f aca="false">COUNTIFS(Malla!$A$2:$A$234,A8,Malla!$N$2:$N$234,"ok")</f>
        <v>6</v>
      </c>
      <c r="C8" s="8" t="n">
        <f aca="false">_xlfn.MAXIFS(Malla!$F$2:$F$234,Malla!$A$2:$A$234,A8)</f>
        <v>0.410320583082884</v>
      </c>
      <c r="D8" s="7" t="n">
        <f aca="false">INDEX(Malla!$B$2:$B$234,MATCH($A8&amp;"|1",Malla!$P$2:$P$234,0))</f>
        <v>0.01</v>
      </c>
      <c r="E8" s="7" t="str">
        <f aca="false">IF(INDEX(Malla!$C$2:$C$234,MATCH($A8&amp;"|1",Malla!$P$2:$P$234,0))="","",INDEX(Malla!$C$2:$C$234,MATCH($A8&amp;"|1",Malla!$P$2:$P$234,0)))</f>
        <v/>
      </c>
      <c r="F8" s="7" t="str">
        <f aca="false">IF(INDEX(Malla!$D$2:$D$234,MATCH($A8&amp;"|1",Malla!$P$2:$P$234,0))="","",INDEX(Malla!$D$2:$D$234,MATCH($A8&amp;"|1",Malla!$P$2:$P$234,0)))</f>
        <v/>
      </c>
      <c r="G8" s="8" t="n">
        <f aca="false">INDEX(Benchmark!$F$2:$F$16,MATCH(A8,Benchmark!$A$2:$A$16,0))</f>
        <v>0.483503485309204</v>
      </c>
      <c r="H8" s="8" t="n">
        <f aca="false">C8-G8</f>
        <v>-0.0731829022263207</v>
      </c>
      <c r="I8" s="8" t="n">
        <f aca="false">_xlfn.MINIFS(Malla!$F$2:$F$234,Malla!$A$2:$A$234,A8)</f>
        <v>0.114388944133252</v>
      </c>
    </row>
    <row r="9" customFormat="false" ht="15" hidden="false" customHeight="false" outlineLevel="0" collapsed="false">
      <c r="A9" s="8" t="s">
        <v>45</v>
      </c>
      <c r="B9" s="18" t="n">
        <f aca="false">COUNTIFS(Malla!$A$2:$A$234,A9,Malla!$N$2:$N$234,"ok")</f>
        <v>5</v>
      </c>
      <c r="C9" s="8" t="n">
        <f aca="false">_xlfn.MAXIFS(Malla!$F$2:$F$234,Malla!$A$2:$A$234,A9)</f>
        <v>0.617704367419006</v>
      </c>
      <c r="D9" s="7" t="n">
        <f aca="false">INDEX(Malla!$B$2:$B$234,MATCH($A9&amp;"|1",Malla!$P$2:$P$234,0))</f>
        <v>0.01</v>
      </c>
      <c r="E9" s="7" t="str">
        <f aca="false">IF(INDEX(Malla!$C$2:$C$234,MATCH($A9&amp;"|1",Malla!$P$2:$P$234,0))="","",INDEX(Malla!$C$2:$C$234,MATCH($A9&amp;"|1",Malla!$P$2:$P$234,0)))</f>
        <v/>
      </c>
      <c r="F9" s="7" t="str">
        <f aca="false">IF(INDEX(Malla!$D$2:$D$234,MATCH($A9&amp;"|1",Malla!$P$2:$P$234,0))="","",INDEX(Malla!$D$2:$D$234,MATCH($A9&amp;"|1",Malla!$P$2:$P$234,0)))</f>
        <v/>
      </c>
      <c r="G9" s="8" t="n">
        <f aca="false">INDEX(Benchmark!$F$2:$F$16,MATCH(A9,Benchmark!$A$2:$A$16,0))</f>
        <v>0.613925876437741</v>
      </c>
      <c r="H9" s="8" t="n">
        <f aca="false">C9-G9</f>
        <v>0.00377849098126548</v>
      </c>
      <c r="I9" s="8" t="n">
        <f aca="false">_xlfn.MINIFS(Malla!$F$2:$F$234,Malla!$A$2:$A$234,A9)</f>
        <v>0.321248000762098</v>
      </c>
    </row>
    <row r="11" customFormat="false" ht="15" hidden="false" customHeight="false" outlineLevel="0" collapsed="false">
      <c r="A11" s="1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13" min="7" style="0" width="12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</row>
    <row r="2" customFormat="false" ht="15" hidden="false" customHeight="false" outlineLevel="0" collapsed="false">
      <c r="A2" s="6" t="s">
        <v>38</v>
      </c>
      <c r="B2" s="7" t="n">
        <v>0.01</v>
      </c>
      <c r="C2" s="7"/>
      <c r="D2" s="7"/>
      <c r="E2" s="6"/>
      <c r="F2" s="8" t="n">
        <v>0.590422240702376</v>
      </c>
      <c r="G2" s="8" t="n">
        <v>0.631694493931151</v>
      </c>
      <c r="H2" s="8" t="n">
        <v>0.60070178811767</v>
      </c>
      <c r="I2" s="8" t="n">
        <v>0.665931997550557</v>
      </c>
      <c r="J2" s="8" t="n">
        <v>0.476649086187077</v>
      </c>
      <c r="K2" s="8" t="n">
        <v>0.388167388167388</v>
      </c>
      <c r="L2" s="8" t="n">
        <v>0.703641141141141</v>
      </c>
      <c r="M2" s="9" t="n">
        <f aca="false">IF(COUNT(G2:L2)=6,AVERAGE(G2:L2),"")</f>
        <v>0.577797649182497</v>
      </c>
    </row>
    <row r="3" customFormat="false" ht="15" hidden="false" customHeight="false" outlineLevel="0" collapsed="false">
      <c r="A3" s="6" t="s">
        <v>39</v>
      </c>
      <c r="B3" s="7" t="n">
        <v>0.01</v>
      </c>
      <c r="C3" s="7"/>
      <c r="D3" s="7" t="n">
        <v>0.001</v>
      </c>
      <c r="E3" s="6"/>
      <c r="F3" s="8" t="n">
        <v>0.61602262934592</v>
      </c>
      <c r="G3" s="8" t="n">
        <v>0.645235741051402</v>
      </c>
      <c r="H3" s="8" t="n">
        <v>0.684676023841569</v>
      </c>
      <c r="I3" s="8" t="n">
        <v>0.587017781518994</v>
      </c>
      <c r="J3" s="8" t="n">
        <v>0.538999474390438</v>
      </c>
      <c r="K3" s="8" t="n">
        <v>0.442383013811585</v>
      </c>
      <c r="L3" s="8" t="n">
        <v>0.717154654654655</v>
      </c>
      <c r="M3" s="9" t="n">
        <f aca="false">IF(COUNT(G3:L3)=6,AVERAGE(G3:L3),"")</f>
        <v>0.602577781544774</v>
      </c>
    </row>
    <row r="4" customFormat="false" ht="15" hidden="false" customHeight="false" outlineLevel="0" collapsed="false">
      <c r="A4" s="6" t="s">
        <v>40</v>
      </c>
      <c r="B4" s="7" t="n">
        <v>0.01</v>
      </c>
      <c r="C4" s="7" t="n">
        <v>0.0031622776601683</v>
      </c>
      <c r="D4" s="7"/>
      <c r="E4" s="6"/>
      <c r="F4" s="8" t="n">
        <v>0.589845895855178</v>
      </c>
      <c r="G4" s="8" t="n">
        <v>0.606516018620714</v>
      </c>
      <c r="H4" s="8" t="n">
        <v>0.729023264756778</v>
      </c>
      <c r="I4" s="8" t="n">
        <v>0.717585755089983</v>
      </c>
      <c r="J4" s="8" t="n">
        <v>0.538056121251901</v>
      </c>
      <c r="K4" s="8" t="n">
        <v>0.367759224902082</v>
      </c>
      <c r="L4" s="8" t="n">
        <v>0.654091591591592</v>
      </c>
      <c r="M4" s="9" t="n">
        <f aca="false">IF(COUNT(G4:L4)=6,AVERAGE(G4:L4),"")</f>
        <v>0.602171996035508</v>
      </c>
    </row>
    <row r="5" customFormat="false" ht="15" hidden="false" customHeight="false" outlineLevel="0" collapsed="false">
      <c r="A5" s="6" t="s">
        <v>41</v>
      </c>
      <c r="B5" s="7" t="n">
        <v>0.01</v>
      </c>
      <c r="C5" s="7" t="n">
        <v>0.0031622776601683</v>
      </c>
      <c r="D5" s="7"/>
      <c r="E5" s="6"/>
      <c r="F5" s="8" t="n">
        <v>0.568687844424459</v>
      </c>
      <c r="G5" s="8" t="n">
        <v>0.591968462803756</v>
      </c>
      <c r="H5" s="8" t="n">
        <v>0.748423380119208</v>
      </c>
      <c r="I5" s="8" t="n">
        <v>0.696533028810484</v>
      </c>
      <c r="J5" s="8" t="n">
        <v>0.446552984721963</v>
      </c>
      <c r="K5" s="8" t="n">
        <v>0.386415172129458</v>
      </c>
      <c r="L5" s="8" t="n">
        <v>0.723911411411411</v>
      </c>
      <c r="M5" s="9" t="n">
        <f aca="false">IF(COUNT(G5:L5)=6,AVERAGE(G5:L5),"")</f>
        <v>0.598967406666047</v>
      </c>
    </row>
    <row r="6" customFormat="false" ht="15" hidden="false" customHeight="false" outlineLevel="0" collapsed="false">
      <c r="A6" s="6" t="s">
        <v>42</v>
      </c>
      <c r="B6" s="7" t="n">
        <v>0.01</v>
      </c>
      <c r="C6" s="7" t="n">
        <v>0.0316227766016837</v>
      </c>
      <c r="D6" s="7"/>
      <c r="E6" s="6"/>
      <c r="F6" s="8" t="n">
        <v>0.546571239922928</v>
      </c>
      <c r="G6" s="8" t="n">
        <v>0.592215280321662</v>
      </c>
      <c r="H6" s="8" t="n">
        <v>0.66660257642761</v>
      </c>
      <c r="I6" s="8" t="n">
        <v>0.52717386999014</v>
      </c>
      <c r="J6" s="8" t="n">
        <v>0.379909486129175</v>
      </c>
      <c r="K6" s="8" t="n">
        <v>0.364460935889507</v>
      </c>
      <c r="L6" s="8" t="n">
        <v>0.825262762762763</v>
      </c>
      <c r="M6" s="9" t="n">
        <f aca="false">IF(COUNT(G6:L6)=6,AVERAGE(G6:L6),"")</f>
        <v>0.55927081858681</v>
      </c>
    </row>
    <row r="7" customFormat="false" ht="15" hidden="false" customHeight="false" outlineLevel="0" collapsed="false">
      <c r="A7" s="6" t="s">
        <v>43</v>
      </c>
      <c r="B7" s="7" t="n">
        <v>0.01</v>
      </c>
      <c r="C7" s="7" t="n">
        <v>1</v>
      </c>
      <c r="D7" s="7"/>
      <c r="E7" s="6"/>
      <c r="F7" s="8" t="n">
        <v>0.623629895553232</v>
      </c>
      <c r="G7" s="8" t="n">
        <v>0.666448951953763</v>
      </c>
      <c r="H7" s="8" t="n">
        <v>0.64866371851567</v>
      </c>
      <c r="I7" s="8" t="n">
        <v>0.724294931903597</v>
      </c>
      <c r="J7" s="8" t="n">
        <v>0.502373180578745</v>
      </c>
      <c r="K7" s="8" t="n">
        <v>0.317872603586889</v>
      </c>
      <c r="L7" s="8" t="n">
        <v>0.658783783783784</v>
      </c>
      <c r="M7" s="9" t="n">
        <f aca="false">IF(COUNT(G7:L7)=6,AVERAGE(G7:L7),"")</f>
        <v>0.586406195053741</v>
      </c>
    </row>
    <row r="8" customFormat="false" ht="15" hidden="false" customHeight="false" outlineLevel="0" collapsed="false">
      <c r="A8" s="6" t="s">
        <v>44</v>
      </c>
      <c r="B8" s="7" t="n">
        <v>0.0031622776601683</v>
      </c>
      <c r="C8" s="7"/>
      <c r="D8" s="7"/>
      <c r="E8" s="6"/>
      <c r="F8" s="8" t="n">
        <v>0.443586405125567</v>
      </c>
      <c r="G8" s="8" t="n">
        <v>0.48400277064906</v>
      </c>
      <c r="H8" s="8" t="n">
        <v>0.421240573394005</v>
      </c>
      <c r="I8" s="8" t="n">
        <v>0.587950756258204</v>
      </c>
      <c r="J8" s="8" t="n">
        <v>0.37881423293233</v>
      </c>
      <c r="K8" s="8" t="n">
        <v>0.237786023500309</v>
      </c>
      <c r="L8" s="8" t="n">
        <v>0.593093093093093</v>
      </c>
      <c r="M8" s="9" t="n">
        <f aca="false">IF(COUNT(G8:L8)=6,AVERAGE(G8:L8),"")</f>
        <v>0.450481241637834</v>
      </c>
    </row>
    <row r="9" customFormat="false" ht="15" hidden="false" customHeight="false" outlineLevel="0" collapsed="false">
      <c r="A9" s="6" t="s">
        <v>45</v>
      </c>
      <c r="B9" s="7" t="n">
        <v>0.01</v>
      </c>
      <c r="C9" s="7"/>
      <c r="D9" s="7"/>
      <c r="E9" s="6" t="n">
        <v>3</v>
      </c>
      <c r="F9" s="8" t="n">
        <v>0.650460812138641</v>
      </c>
      <c r="G9" s="8" t="n">
        <v>0.690152780743877</v>
      </c>
      <c r="H9" s="8" t="n">
        <v>0.670572966737166</v>
      </c>
      <c r="I9" s="8" t="n">
        <v>0.729816164462122</v>
      </c>
      <c r="J9" s="8" t="n">
        <v>0.517713410557791</v>
      </c>
      <c r="K9" s="8" t="n">
        <v>0.417748917748918</v>
      </c>
      <c r="L9" s="8" t="n">
        <v>0.722972972972973</v>
      </c>
      <c r="M9" s="9" t="n">
        <f aca="false">IF(COUNT(G9:L9)=6,AVERAGE(G9:L9),"")</f>
        <v>0.624829535537141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13" min="7" style="0" width="12"/>
  </cols>
  <sheetData>
    <row r="1" customFormat="false" ht="31.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</row>
    <row r="2" customFormat="false" ht="15" hidden="false" customHeight="false" outlineLevel="0" collapsed="false">
      <c r="A2" s="6" t="s">
        <v>38</v>
      </c>
      <c r="B2" s="7" t="n">
        <v>0.01</v>
      </c>
      <c r="C2" s="7"/>
      <c r="D2" s="7"/>
      <c r="E2" s="6"/>
      <c r="F2" s="8" t="n">
        <v>0.571318714435929</v>
      </c>
      <c r="G2" s="8" t="n">
        <v>0.601005086053077</v>
      </c>
      <c r="H2" s="8" t="n">
        <v>0.640184579888483</v>
      </c>
      <c r="I2" s="8" t="n">
        <v>0.530847880531469</v>
      </c>
      <c r="J2" s="8" t="n">
        <v>0.443029282751056</v>
      </c>
      <c r="K2" s="8" t="n">
        <v>0.423933209647495</v>
      </c>
      <c r="L2" s="8" t="n">
        <v>0.825262762762763</v>
      </c>
      <c r="M2" s="9" t="n">
        <f aca="false">IF(COUNT(G2:L2)=6,AVERAGE(G2:L2),"")</f>
        <v>0.577377133605724</v>
      </c>
    </row>
    <row r="3" customFormat="false" ht="15" hidden="false" customHeight="false" outlineLevel="0" collapsed="false">
      <c r="A3" s="6" t="s">
        <v>39</v>
      </c>
      <c r="B3" s="7" t="n">
        <v>0.01</v>
      </c>
      <c r="C3" s="7"/>
      <c r="D3" s="7" t="n">
        <v>0.001</v>
      </c>
      <c r="E3" s="6"/>
      <c r="F3" s="8" t="n">
        <v>0.615467706089447</v>
      </c>
      <c r="G3" s="8" t="n">
        <v>0.650143102236336</v>
      </c>
      <c r="H3" s="8" t="n">
        <v>0.687617765814267</v>
      </c>
      <c r="I3" s="8" t="n">
        <v>0.570784164520071</v>
      </c>
      <c r="J3" s="8" t="n">
        <v>0.477687174279534</v>
      </c>
      <c r="K3" s="8" t="n">
        <v>0.43733250876108</v>
      </c>
      <c r="L3" s="8" t="n">
        <v>0.685998498498499</v>
      </c>
      <c r="M3" s="9" t="n">
        <f aca="false">IF(COUNT(G3:L3)=6,AVERAGE(G3:L3),"")</f>
        <v>0.584927202351631</v>
      </c>
    </row>
    <row r="4" customFormat="false" ht="15" hidden="false" customHeight="false" outlineLevel="0" collapsed="false">
      <c r="A4" s="6" t="s">
        <v>40</v>
      </c>
      <c r="B4" s="7" t="n">
        <v>0.01</v>
      </c>
      <c r="C4" s="7" t="n">
        <v>0.0031622776601683</v>
      </c>
      <c r="D4" s="7"/>
      <c r="E4" s="6"/>
      <c r="F4" s="8" t="n">
        <v>0.583497647837433</v>
      </c>
      <c r="G4" s="8" t="n">
        <v>0.6028322604322</v>
      </c>
      <c r="H4" s="8" t="n">
        <v>0.670265333589694</v>
      </c>
      <c r="I4" s="8" t="n">
        <v>0.697034156115648</v>
      </c>
      <c r="J4" s="8" t="n">
        <v>0.483072259712267</v>
      </c>
      <c r="K4" s="8" t="n">
        <v>0.449391877963307</v>
      </c>
      <c r="L4" s="8" t="n">
        <v>0.679992492492493</v>
      </c>
      <c r="M4" s="9" t="n">
        <f aca="false">IF(COUNT(G4:L4)=6,AVERAGE(G4:L4),"")</f>
        <v>0.597098063384268</v>
      </c>
    </row>
    <row r="5" customFormat="false" ht="15" hidden="false" customHeight="false" outlineLevel="0" collapsed="false">
      <c r="A5" s="6" t="s">
        <v>41</v>
      </c>
      <c r="B5" s="7" t="n">
        <v>0.01</v>
      </c>
      <c r="C5" s="7" t="n">
        <v>0.0031622776601683</v>
      </c>
      <c r="D5" s="7"/>
      <c r="E5" s="6"/>
      <c r="F5" s="8" t="n">
        <v>0.593162793731677</v>
      </c>
      <c r="G5" s="8" t="n">
        <v>0.616937732775082</v>
      </c>
      <c r="H5" s="8" t="n">
        <v>0.673082099596231</v>
      </c>
      <c r="I5" s="8" t="n">
        <v>0.722091676500996</v>
      </c>
      <c r="J5" s="8" t="n">
        <v>0.515207520010549</v>
      </c>
      <c r="K5" s="8" t="n">
        <v>0.379818594104308</v>
      </c>
      <c r="L5" s="8" t="n">
        <v>0.6753003003003</v>
      </c>
      <c r="M5" s="9" t="n">
        <f aca="false">IF(COUNT(G5:L5)=6,AVERAGE(G5:L5),"")</f>
        <v>0.597072987214578</v>
      </c>
    </row>
    <row r="6" customFormat="false" ht="15" hidden="false" customHeight="false" outlineLevel="0" collapsed="false">
      <c r="A6" s="6" t="s">
        <v>42</v>
      </c>
      <c r="B6" s="7" t="n">
        <v>0.01</v>
      </c>
      <c r="C6" s="7" t="n">
        <v>0.0316227766016837</v>
      </c>
      <c r="D6" s="7"/>
      <c r="E6" s="6"/>
      <c r="F6" s="8" t="n">
        <v>0.565522905818033</v>
      </c>
      <c r="G6" s="8" t="n">
        <v>0.598040636805095</v>
      </c>
      <c r="H6" s="8" t="n">
        <v>0.678590655643146</v>
      </c>
      <c r="I6" s="8" t="n">
        <v>0.566919809196278</v>
      </c>
      <c r="J6" s="8" t="n">
        <v>0.412143183116552</v>
      </c>
      <c r="K6" s="8" t="n">
        <v>0.459492888064317</v>
      </c>
      <c r="L6" s="8" t="n">
        <v>0.755255255255255</v>
      </c>
      <c r="M6" s="9" t="n">
        <f aca="false">IF(COUNT(G6:L6)=6,AVERAGE(G6:L6),"")</f>
        <v>0.578407071346774</v>
      </c>
    </row>
    <row r="7" customFormat="false" ht="15" hidden="false" customHeight="false" outlineLevel="0" collapsed="false">
      <c r="A7" s="6" t="s">
        <v>43</v>
      </c>
      <c r="B7" s="7" t="n">
        <v>0.01</v>
      </c>
      <c r="C7" s="7" t="n">
        <v>1</v>
      </c>
      <c r="D7" s="7"/>
      <c r="E7" s="6"/>
      <c r="F7" s="8" t="n">
        <v>0.599086463906679</v>
      </c>
      <c r="G7" s="8" t="n">
        <v>0.627556878154256</v>
      </c>
      <c r="H7" s="8" t="n">
        <v>0.619553931936166</v>
      </c>
      <c r="I7" s="8" t="n">
        <v>0.697890200705484</v>
      </c>
      <c r="J7" s="8" t="n">
        <v>0.500017864095121</v>
      </c>
      <c r="K7" s="8" t="n">
        <v>0.353844568130282</v>
      </c>
      <c r="L7" s="8" t="n">
        <v>0.623310810810811</v>
      </c>
      <c r="M7" s="9" t="n">
        <f aca="false">IF(COUNT(G7:L7)=6,AVERAGE(G7:L7),"")</f>
        <v>0.570362375638687</v>
      </c>
    </row>
    <row r="8" customFormat="false" ht="15" hidden="false" customHeight="false" outlineLevel="0" collapsed="false">
      <c r="A8" s="6" t="s">
        <v>45</v>
      </c>
      <c r="B8" s="7" t="n">
        <v>0.01</v>
      </c>
      <c r="C8" s="7"/>
      <c r="D8" s="7"/>
      <c r="E8" s="6" t="n">
        <v>3</v>
      </c>
      <c r="F8" s="8" t="n">
        <v>0.611704350673541</v>
      </c>
      <c r="G8" s="8" t="n">
        <v>0.63947167160491</v>
      </c>
      <c r="H8" s="8" t="n">
        <v>0.752191886175736</v>
      </c>
      <c r="I8" s="8" t="n">
        <v>0.680421174388927</v>
      </c>
      <c r="J8" s="8" t="n">
        <v>0.518296479889265</v>
      </c>
      <c r="K8" s="8" t="n">
        <v>0.4004329004329</v>
      </c>
      <c r="L8" s="8" t="n">
        <v>0.719594594594595</v>
      </c>
      <c r="M8" s="9" t="n">
        <f aca="false">IF(COUNT(G8:L8)=6,AVERAGE(G8:L8),"")</f>
        <v>0.618401451181056</v>
      </c>
    </row>
  </sheetData>
  <autoFilter ref="A1:M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5" t="s">
        <v>51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</row>
    <row r="2" customFormat="false" ht="15" hidden="false" customHeight="false" outlineLevel="0" collapsed="false">
      <c r="A2" s="8" t="s">
        <v>38</v>
      </c>
      <c r="B2" s="8" t="n">
        <f aca="false">IFERROR(INDEX(Benchmark!$F$2:$F$16,MATCH($A2,Benchmark!$A$2:$A$16,0)),"")</f>
        <v>0.578040381356732</v>
      </c>
      <c r="C2" s="8" t="n">
        <f aca="false">IFERROR(INDEX('Benchmark rerun'!$F$2:$F$8,MATCH($A2,'Benchmark rerun'!$A$2:$A$8,0)),"")</f>
        <v>0.571318714435929</v>
      </c>
      <c r="D2" s="8" t="n">
        <f aca="false">IFERROR(INDEX('Best config'!$F$2:$F$9,MATCH($A2,'Best config'!$A$2:$A$9,0)),"")</f>
        <v>0.590422240702376</v>
      </c>
      <c r="E2" s="18" t="n">
        <f aca="false">COUNT(B2:D2)</f>
        <v>3</v>
      </c>
      <c r="F2" s="8" t="n">
        <f aca="false">AVERAGE(B2:D2)</f>
        <v>0.579927112165012</v>
      </c>
      <c r="G2" s="8" t="n">
        <f aca="false">IF(E2&gt;1,STDEV(B2:D2),"")</f>
        <v>0.00969051050308479</v>
      </c>
      <c r="H2" s="8" t="n">
        <f aca="false">MAX(B2:D2)-MIN(B2:D2)</f>
        <v>0.0191035262664474</v>
      </c>
    </row>
    <row r="3" customFormat="false" ht="15" hidden="false" customHeight="false" outlineLevel="0" collapsed="false">
      <c r="A3" s="8" t="s">
        <v>39</v>
      </c>
      <c r="B3" s="8" t="n">
        <f aca="false">IFERROR(INDEX(Benchmark!$F$2:$F$16,MATCH($A3,Benchmark!$A$2:$A$16,0)),"")</f>
        <v>0.58924230973093</v>
      </c>
      <c r="C3" s="8" t="n">
        <f aca="false">IFERROR(INDEX('Benchmark rerun'!$F$2:$F$8,MATCH($A3,'Benchmark rerun'!$A$2:$A$8,0)),"")</f>
        <v>0.615467706089447</v>
      </c>
      <c r="D3" s="8" t="n">
        <f aca="false">IFERROR(INDEX('Best config'!$F$2:$F$9,MATCH($A3,'Best config'!$A$2:$A$9,0)),"")</f>
        <v>0.61602262934592</v>
      </c>
      <c r="E3" s="18" t="n">
        <f aca="false">COUNT(B3:D3)</f>
        <v>3</v>
      </c>
      <c r="F3" s="8" t="n">
        <f aca="false">AVERAGE(B3:D3)</f>
        <v>0.606910881722099</v>
      </c>
      <c r="G3" s="8" t="n">
        <f aca="false">IF(E3&gt;1,STDEV(B3:D3),"")</f>
        <v>0.0153039475989197</v>
      </c>
      <c r="H3" s="8" t="n">
        <f aca="false">MAX(B3:D3)-MIN(B3:D3)</f>
        <v>0.0267803196149897</v>
      </c>
    </row>
    <row r="4" customFormat="false" ht="15" hidden="false" customHeight="false" outlineLevel="0" collapsed="false">
      <c r="A4" s="8" t="s">
        <v>40</v>
      </c>
      <c r="B4" s="8" t="n">
        <f aca="false">IFERROR(INDEX(Benchmark!$F$2:$F$16,MATCH($A4,Benchmark!$A$2:$A$16,0)),"")</f>
        <v>0.589959824898343</v>
      </c>
      <c r="C4" s="8" t="n">
        <f aca="false">IFERROR(INDEX('Benchmark rerun'!$F$2:$F$8,MATCH($A4,'Benchmark rerun'!$A$2:$A$8,0)),"")</f>
        <v>0.583497647837433</v>
      </c>
      <c r="D4" s="8" t="n">
        <f aca="false">IFERROR(INDEX('Best config'!$F$2:$F$9,MATCH($A4,'Best config'!$A$2:$A$9,0)),"")</f>
        <v>0.589845895855178</v>
      </c>
      <c r="E4" s="18" t="n">
        <f aca="false">COUNT(B4:D4)</f>
        <v>3</v>
      </c>
      <c r="F4" s="8" t="n">
        <f aca="false">AVERAGE(B4:D4)</f>
        <v>0.587767789530318</v>
      </c>
      <c r="G4" s="8" t="n">
        <f aca="false">IF(E4&gt;1,STDEV(B4:D4),"")</f>
        <v>0.00369848989652609</v>
      </c>
      <c r="H4" s="8" t="n">
        <f aca="false">MAX(B4:D4)-MIN(B4:D4)</f>
        <v>0.00646217706091012</v>
      </c>
    </row>
    <row r="5" customFormat="false" ht="15" hidden="false" customHeight="false" outlineLevel="0" collapsed="false">
      <c r="A5" s="8" t="s">
        <v>41</v>
      </c>
      <c r="B5" s="8" t="n">
        <f aca="false">IFERROR(INDEX(Benchmark!$F$2:$F$16,MATCH($A5,Benchmark!$A$2:$A$16,0)),"")</f>
        <v>0.56305463267471</v>
      </c>
      <c r="C5" s="8" t="n">
        <f aca="false">IFERROR(INDEX('Benchmark rerun'!$F$2:$F$8,MATCH($A5,'Benchmark rerun'!$A$2:$A$8,0)),"")</f>
        <v>0.593162793731677</v>
      </c>
      <c r="D5" s="8" t="n">
        <f aca="false">IFERROR(INDEX('Best config'!$F$2:$F$9,MATCH($A5,'Best config'!$A$2:$A$9,0)),"")</f>
        <v>0.568687844424459</v>
      </c>
      <c r="E5" s="18" t="n">
        <f aca="false">COUNT(B5:D5)</f>
        <v>3</v>
      </c>
      <c r="F5" s="8" t="n">
        <f aca="false">AVERAGE(B5:D5)</f>
        <v>0.574968423610282</v>
      </c>
      <c r="G5" s="8" t="n">
        <f aca="false">IF(E5&gt;1,STDEV(B5:D5),"")</f>
        <v>0.0160065485580158</v>
      </c>
      <c r="H5" s="8" t="n">
        <f aca="false">MAX(B5:D5)-MIN(B5:D5)</f>
        <v>0.0301081610569675</v>
      </c>
    </row>
    <row r="6" customFormat="false" ht="15" hidden="false" customHeight="false" outlineLevel="0" collapsed="false">
      <c r="A6" s="8" t="s">
        <v>42</v>
      </c>
      <c r="B6" s="8" t="n">
        <f aca="false">IFERROR(INDEX(Benchmark!$F$2:$F$16,MATCH($A6,Benchmark!$A$2:$A$16,0)),"")</f>
        <v>0.544616346937807</v>
      </c>
      <c r="C6" s="8" t="n">
        <f aca="false">IFERROR(INDEX('Benchmark rerun'!$F$2:$F$8,MATCH($A6,'Benchmark rerun'!$A$2:$A$8,0)),"")</f>
        <v>0.565522905818033</v>
      </c>
      <c r="D6" s="8" t="n">
        <f aca="false">IFERROR(INDEX('Best config'!$F$2:$F$9,MATCH($A6,'Best config'!$A$2:$A$9,0)),"")</f>
        <v>0.546571239922928</v>
      </c>
      <c r="E6" s="18" t="n">
        <f aca="false">COUNT(B6:D6)</f>
        <v>3</v>
      </c>
      <c r="F6" s="8" t="n">
        <f aca="false">AVERAGE(B6:D6)</f>
        <v>0.552236830892923</v>
      </c>
      <c r="G6" s="8" t="n">
        <f aca="false">IF(E6&gt;1,STDEV(B6:D6),"")</f>
        <v>0.0115475210254218</v>
      </c>
      <c r="H6" s="8" t="n">
        <f aca="false">MAX(B6:D6)-MIN(B6:D6)</f>
        <v>0.0209065588802265</v>
      </c>
    </row>
    <row r="7" customFormat="false" ht="15" hidden="false" customHeight="false" outlineLevel="0" collapsed="false">
      <c r="A7" s="8" t="s">
        <v>43</v>
      </c>
      <c r="B7" s="8" t="n">
        <f aca="false">IFERROR(INDEX(Benchmark!$F$2:$F$16,MATCH($A7,Benchmark!$A$2:$A$16,0)),"")</f>
        <v>0.615720874203297</v>
      </c>
      <c r="C7" s="8" t="n">
        <f aca="false">IFERROR(INDEX('Benchmark rerun'!$F$2:$F$8,MATCH($A7,'Benchmark rerun'!$A$2:$A$8,0)),"")</f>
        <v>0.599086463906679</v>
      </c>
      <c r="D7" s="8" t="n">
        <f aca="false">IFERROR(INDEX('Best config'!$F$2:$F$9,MATCH($A7,'Best config'!$A$2:$A$9,0)),"")</f>
        <v>0.623629895553232</v>
      </c>
      <c r="E7" s="18" t="n">
        <f aca="false">COUNT(B7:D7)</f>
        <v>3</v>
      </c>
      <c r="F7" s="8" t="n">
        <f aca="false">AVERAGE(B7:D7)</f>
        <v>0.612812411221069</v>
      </c>
      <c r="G7" s="8" t="n">
        <f aca="false">IF(E7&gt;1,STDEV(B7:D7),"")</f>
        <v>0.0125275447289758</v>
      </c>
      <c r="H7" s="8" t="n">
        <f aca="false">MAX(B7:D7)-MIN(B7:D7)</f>
        <v>0.0245434316465525</v>
      </c>
    </row>
    <row r="8" customFormat="false" ht="15" hidden="false" customHeight="false" outlineLevel="0" collapsed="false">
      <c r="A8" s="8" t="s">
        <v>44</v>
      </c>
      <c r="B8" s="8" t="n">
        <f aca="false">IFERROR(INDEX(Benchmark!$F$2:$F$16,MATCH($A8,Benchmark!$A$2:$A$16,0)),"")</f>
        <v>0.483503485309204</v>
      </c>
      <c r="C8" s="8" t="str">
        <f aca="false">IFERROR(INDEX('Benchmark rerun'!$F$2:$F$8,MATCH($A8,'Benchmark rerun'!$A$2:$A$8,0)),"")</f>
        <v/>
      </c>
      <c r="D8" s="8" t="n">
        <f aca="false">IFERROR(INDEX('Best config'!$F$2:$F$9,MATCH($A8,'Best config'!$A$2:$A$9,0)),"")</f>
        <v>0.443586405125567</v>
      </c>
      <c r="E8" s="18" t="n">
        <f aca="false">COUNT(B8:D8)</f>
        <v>2</v>
      </c>
      <c r="F8" s="8" t="n">
        <f aca="false">AVERAGE(B8:D8)</f>
        <v>0.463544945217386</v>
      </c>
      <c r="G8" s="8" t="n">
        <f aca="false">IF(E8&gt;1,STDEV(B8:D8),"")</f>
        <v>0.0282256380830174</v>
      </c>
      <c r="H8" s="8" t="n">
        <f aca="false">MAX(B8:D8)-MIN(B8:D8)</f>
        <v>0.0399170801836377</v>
      </c>
    </row>
    <row r="9" customFormat="false" ht="15" hidden="false" customHeight="false" outlineLevel="0" collapsed="false">
      <c r="A9" s="8" t="s">
        <v>45</v>
      </c>
      <c r="B9" s="8" t="n">
        <f aca="false">IFERROR(INDEX(Benchmark!$F$2:$F$16,MATCH($A9,Benchmark!$A$2:$A$16,0)),"")</f>
        <v>0.613925876437741</v>
      </c>
      <c r="C9" s="8" t="n">
        <f aca="false">IFERROR(INDEX('Benchmark rerun'!$F$2:$F$8,MATCH($A9,'Benchmark rerun'!$A$2:$A$8,0)),"")</f>
        <v>0.611704350673541</v>
      </c>
      <c r="D9" s="8" t="n">
        <f aca="false">IFERROR(INDEX('Best config'!$F$2:$F$9,MATCH($A9,'Best config'!$A$2:$A$9,0)),"")</f>
        <v>0.650460812138641</v>
      </c>
      <c r="E9" s="18" t="n">
        <f aca="false">COUNT(B9:D9)</f>
        <v>3</v>
      </c>
      <c r="F9" s="8" t="n">
        <f aca="false">AVERAGE(B9:D9)</f>
        <v>0.625363679749974</v>
      </c>
      <c r="G9" s="8" t="n">
        <f aca="false">IF(E9&gt;1,STDEV(B9:D9),"")</f>
        <v>0.0217631186823247</v>
      </c>
      <c r="H9" s="8" t="n">
        <f aca="false">MAX(B9:D9)-MIN(B9:D9)</f>
        <v>0.0387564614651001</v>
      </c>
    </row>
    <row r="11" customFormat="false" ht="15" hidden="false" customHeight="false" outlineLevel="0" collapsed="false">
      <c r="A11" s="11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1" min="10" style="0" width="14"/>
  </cols>
  <sheetData>
    <row r="1" customFormat="false" ht="31.5" hidden="false" customHeight="true" outlineLevel="0" collapsed="false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</row>
    <row r="2" customFormat="false" ht="15" hidden="false" customHeight="false" outlineLevel="0" collapsed="false">
      <c r="A2" s="6" t="s">
        <v>31</v>
      </c>
      <c r="B2" s="19" t="n">
        <v>0.755503473291329</v>
      </c>
      <c r="C2" s="19" t="n">
        <v>0.775860040178981</v>
      </c>
      <c r="D2" s="19" t="n">
        <v>0.758109521799526</v>
      </c>
      <c r="E2" s="19" t="n">
        <v>0.769921329309843</v>
      </c>
      <c r="F2" s="19" t="n">
        <v>0.751621193730521</v>
      </c>
      <c r="G2" s="8" t="n">
        <f aca="false">AVERAGE(B2:F2)</f>
        <v>0.76220311166204</v>
      </c>
      <c r="H2" s="8" t="n">
        <f aca="false">STDEV(B2:F2)</f>
        <v>0.0102433173282129</v>
      </c>
      <c r="I2" s="8" t="n">
        <f aca="false">IFERROR(INDEX(Benchmark!$F$2:$F$16,MATCH(A2,Benchmark!$A$2:$A$16,0)),"")</f>
        <v>0.749812893975871</v>
      </c>
      <c r="J2" s="8" t="n">
        <f aca="false">IF(I2="","",I2-G2)</f>
        <v>-0.0123902176861691</v>
      </c>
      <c r="K2" s="8" t="str">
        <f aca="false">IF(I2="","",IF(ABS(J2)&lt;=2*H2,"sí","no"))</f>
        <v>sí</v>
      </c>
    </row>
    <row r="3" customFormat="false" ht="15" hidden="false" customHeight="false" outlineLevel="0" collapsed="false">
      <c r="A3" s="6" t="s">
        <v>32</v>
      </c>
      <c r="B3" s="19" t="n">
        <v>0.669531720583508</v>
      </c>
      <c r="C3" s="19" t="n">
        <v>0.663139561377477</v>
      </c>
      <c r="D3" s="19" t="n">
        <v>0.657359056515847</v>
      </c>
      <c r="E3" s="19" t="n">
        <v>0.676646720019006</v>
      </c>
      <c r="F3" s="19" t="n">
        <v>0.65426405217672</v>
      </c>
      <c r="G3" s="8" t="n">
        <f aca="false">AVERAGE(B3:F3)</f>
        <v>0.664188222134512</v>
      </c>
      <c r="H3" s="8" t="n">
        <f aca="false">STDEV(B3:F3)</f>
        <v>0.00908286142955505</v>
      </c>
      <c r="I3" s="8" t="n">
        <f aca="false">IFERROR(INDEX(Benchmark!$F$2:$F$16,MATCH(A3,Benchmark!$A$2:$A$16,0)),"")</f>
        <v>0.65823531463715</v>
      </c>
      <c r="J3" s="8" t="n">
        <f aca="false">IF(I3="","",I3-G3)</f>
        <v>-0.0059529074973621</v>
      </c>
      <c r="K3" s="8" t="str">
        <f aca="false">IF(I3="","",IF(ABS(J3)&lt;=2*H3,"sí","no"))</f>
        <v>sí</v>
      </c>
    </row>
    <row r="4" customFormat="false" ht="15" hidden="false" customHeight="false" outlineLevel="0" collapsed="false">
      <c r="A4" s="6" t="s">
        <v>33</v>
      </c>
      <c r="B4" s="19" t="n">
        <v>0.288730790334466</v>
      </c>
      <c r="C4" s="19" t="n">
        <v>0.272467184486373</v>
      </c>
      <c r="D4" s="19" t="n">
        <v>0.29578618993625</v>
      </c>
      <c r="E4" s="19" t="n">
        <v>0.272751571209881</v>
      </c>
      <c r="F4" s="19" t="n">
        <v>0.303696767039274</v>
      </c>
      <c r="G4" s="8" t="n">
        <f aca="false">AVERAGE(B4:F4)</f>
        <v>0.286686500601249</v>
      </c>
      <c r="H4" s="8" t="n">
        <f aca="false">STDEV(B4:F4)</f>
        <v>0.0138987754740899</v>
      </c>
      <c r="I4" s="8" t="n">
        <f aca="false">IFERROR(INDEX(Benchmark!$F$2:$F$16,MATCH(A4,Benchmark!$A$2:$A$16,0)),"")</f>
        <v>0.277977209116297</v>
      </c>
      <c r="J4" s="8" t="n">
        <f aca="false">IF(I4="","",I4-G4)</f>
        <v>-0.00870929148495181</v>
      </c>
      <c r="K4" s="8" t="str">
        <f aca="false">IF(I4="","",IF(ABS(J4)&lt;=2*H4,"sí","no"))</f>
        <v>sí</v>
      </c>
    </row>
    <row r="5" customFormat="false" ht="15" hidden="false" customHeight="false" outlineLevel="0" collapsed="false">
      <c r="A5" s="6" t="s">
        <v>34</v>
      </c>
      <c r="B5" s="19" t="n">
        <v>0.440633317920457</v>
      </c>
      <c r="C5" s="19" t="n">
        <v>0.424704931486937</v>
      </c>
      <c r="D5" s="19" t="n">
        <v>0.433261445111409</v>
      </c>
      <c r="E5" s="19" t="n">
        <v>0.417327087440931</v>
      </c>
      <c r="F5" s="19" t="n">
        <v>0.442934872863366</v>
      </c>
      <c r="G5" s="8" t="n">
        <f aca="false">AVERAGE(B5:F5)</f>
        <v>0.43177233096462</v>
      </c>
      <c r="H5" s="8" t="n">
        <f aca="false">STDEV(B5:F5)</f>
        <v>0.0107697503249935</v>
      </c>
      <c r="I5" s="8" t="n">
        <f aca="false">IFERROR(INDEX(Benchmark!$F$2:$F$16,MATCH(A5,Benchmark!$A$2:$A$16,0)),"")</f>
        <v>0.449466324648654</v>
      </c>
      <c r="J5" s="8" t="n">
        <f aca="false">IF(I5="","",I5-G5)</f>
        <v>0.0176939936840336</v>
      </c>
      <c r="K5" s="8" t="str">
        <f aca="false">IF(I5="","",IF(ABS(J5)&lt;=2*H5,"sí","no"))</f>
        <v>sí</v>
      </c>
    </row>
    <row r="6" customFormat="false" ht="15" hidden="false" customHeight="false" outlineLevel="0" collapsed="false">
      <c r="A6" s="6" t="s">
        <v>35</v>
      </c>
      <c r="B6" s="19" t="n">
        <v>0.328923553938318</v>
      </c>
      <c r="C6" s="19" t="n">
        <v>0.333405854813826</v>
      </c>
      <c r="D6" s="19" t="n">
        <v>0.383874915154253</v>
      </c>
      <c r="E6" s="19" t="n">
        <v>0.350640354860578</v>
      </c>
      <c r="F6" s="19" t="n">
        <v>0.351494564901533</v>
      </c>
      <c r="G6" s="8" t="n">
        <f aca="false">AVERAGE(B6:F6)</f>
        <v>0.349667848733702</v>
      </c>
      <c r="H6" s="8" t="n">
        <f aca="false">STDEV(B6:F6)</f>
        <v>0.0216170318616621</v>
      </c>
      <c r="I6" s="8" t="n">
        <f aca="false">IFERROR(INDEX(Benchmark!$F$2:$F$16,MATCH(A6,Benchmark!$A$2:$A$16,0)),"")</f>
        <v>0.350367713162916</v>
      </c>
      <c r="J6" s="8" t="n">
        <f aca="false">IF(I6="","",I6-G6)</f>
        <v>0.000699864429214103</v>
      </c>
      <c r="K6" s="8" t="str">
        <f aca="false">IF(I6="","",IF(ABS(J6)&lt;=2*H6,"sí","no"))</f>
        <v>sí</v>
      </c>
    </row>
    <row r="7" customFormat="false" ht="15" hidden="false" customHeight="false" outlineLevel="0" collapsed="false">
      <c r="A7" s="6" t="s">
        <v>36</v>
      </c>
      <c r="B7" s="19" t="n">
        <v>0.181639157804904</v>
      </c>
      <c r="C7" s="19" t="n">
        <v>0.184616852714178</v>
      </c>
      <c r="D7" s="19" t="n">
        <v>0.177838697413388</v>
      </c>
      <c r="E7" s="19" t="n">
        <v>0.186069920774306</v>
      </c>
      <c r="F7" s="19" t="n">
        <v>0.186546530087303</v>
      </c>
      <c r="G7" s="8" t="n">
        <f aca="false">AVERAGE(B7:F7)</f>
        <v>0.183342231758816</v>
      </c>
      <c r="H7" s="8" t="n">
        <f aca="false">STDEV(B7:F7)</f>
        <v>0.00362359713912893</v>
      </c>
      <c r="I7" s="8" t="n">
        <f aca="false">IFERROR(INDEX(Benchmark!$F$2:$F$16,MATCH(A7,Benchmark!$A$2:$A$16,0)),"")</f>
        <v>0.19042508324615</v>
      </c>
      <c r="J7" s="8" t="n">
        <f aca="false">IF(I7="","",I7-G7)</f>
        <v>0.00708285148733376</v>
      </c>
      <c r="K7" s="8" t="str">
        <f aca="false">IF(I7="","",IF(ABS(J7)&lt;=2*H7,"sí","no"))</f>
        <v>sí</v>
      </c>
    </row>
    <row r="8" customFormat="false" ht="15" hidden="false" customHeight="false" outlineLevel="0" collapsed="false">
      <c r="A8" s="6" t="s">
        <v>37</v>
      </c>
      <c r="B8" s="19" t="n">
        <v>0.153101738084085</v>
      </c>
      <c r="C8" s="19" t="n">
        <v>0.138268024596167</v>
      </c>
      <c r="D8" s="19" t="n">
        <v>0.151504701925905</v>
      </c>
      <c r="E8" s="19" t="n">
        <v>0.132128347212497</v>
      </c>
      <c r="F8" s="19" t="n">
        <v>0.144939196157052</v>
      </c>
      <c r="G8" s="8" t="n">
        <f aca="false">AVERAGE(B8:F8)</f>
        <v>0.143988401595141</v>
      </c>
      <c r="H8" s="8" t="n">
        <f aca="false">STDEV(B8:F8)</f>
        <v>0.00885769842977852</v>
      </c>
      <c r="I8" s="8" t="n">
        <f aca="false">IFERROR(INDEX(Benchmark!$F$2:$F$16,MATCH(A8,Benchmark!$A$2:$A$16,0)),"")</f>
        <v>0.141337581186341</v>
      </c>
      <c r="J8" s="8" t="n">
        <f aca="false">IF(I8="","",I8-G8)</f>
        <v>-0.00265082040880055</v>
      </c>
      <c r="K8" s="8" t="str">
        <f aca="false">IF(I8="","",IF(ABS(J8)&lt;=2*H8,"sí","no"))</f>
        <v>sí</v>
      </c>
    </row>
    <row r="9" customFormat="false" ht="15" hidden="false" customHeight="false" outlineLevel="0" collapsed="false">
      <c r="A9" s="6" t="s">
        <v>38</v>
      </c>
      <c r="B9" s="19" t="n">
        <v>0.580618486634477</v>
      </c>
      <c r="C9" s="19" t="n">
        <v>0.573872622693815</v>
      </c>
      <c r="D9" s="19" t="n">
        <v>0.591050569542715</v>
      </c>
      <c r="E9" s="19" t="n">
        <v>0.5934065497138</v>
      </c>
      <c r="F9" s="19" t="n">
        <v>0.330468369865094</v>
      </c>
      <c r="G9" s="8" t="n">
        <f aca="false">AVERAGE(B9:F9)</f>
        <v>0.53388331968998</v>
      </c>
      <c r="H9" s="8" t="n">
        <f aca="false">STDEV(B9:F9)</f>
        <v>0.113986919605406</v>
      </c>
      <c r="I9" s="8" t="n">
        <f aca="false">IFERROR(INDEX(Benchmark!$F$2:$F$16,MATCH(A9,Benchmark!$A$2:$A$16,0)),"")</f>
        <v>0.578040381356732</v>
      </c>
      <c r="J9" s="8" t="n">
        <f aca="false">IF(I9="","",I9-G9)</f>
        <v>0.0441570616667518</v>
      </c>
      <c r="K9" s="8" t="str">
        <f aca="false">IF(I9="","",IF(ABS(J9)&lt;=2*H9,"sí","no"))</f>
        <v>sí</v>
      </c>
    </row>
    <row r="10" customFormat="false" ht="15" hidden="false" customHeight="false" outlineLevel="0" collapsed="false">
      <c r="A10" s="6" t="s">
        <v>39</v>
      </c>
      <c r="B10" s="19" t="n">
        <v>0.550239281696894</v>
      </c>
      <c r="C10" s="19" t="n">
        <v>0.599130126406344</v>
      </c>
      <c r="D10" s="19" t="n">
        <v>0.521364664342007</v>
      </c>
      <c r="E10" s="19" t="n">
        <v>0.605667283194561</v>
      </c>
      <c r="F10" s="19" t="n">
        <v>0.444638033878906</v>
      </c>
      <c r="G10" s="8" t="n">
        <f aca="false">AVERAGE(B10:F10)</f>
        <v>0.544207877903742</v>
      </c>
      <c r="H10" s="8" t="n">
        <f aca="false">STDEV(B10:F10)</f>
        <v>0.0657001825643506</v>
      </c>
      <c r="I10" s="8" t="n">
        <f aca="false">IFERROR(INDEX(Benchmark!$F$2:$F$16,MATCH(A10,Benchmark!$A$2:$A$16,0)),"")</f>
        <v>0.58924230973093</v>
      </c>
      <c r="J10" s="8" t="n">
        <f aca="false">IF(I10="","",I10-G10)</f>
        <v>0.0450344318271881</v>
      </c>
      <c r="K10" s="8" t="str">
        <f aca="false">IF(I10="","",IF(ABS(J10)&lt;=2*H10,"sí","no"))</f>
        <v>sí</v>
      </c>
    </row>
    <row r="11" customFormat="false" ht="15" hidden="false" customHeight="false" outlineLevel="0" collapsed="false">
      <c r="A11" s="6" t="s">
        <v>40</v>
      </c>
      <c r="B11" s="19" t="n">
        <v>0.584393274263356</v>
      </c>
      <c r="C11" s="19" t="n">
        <v>0.579151172670814</v>
      </c>
      <c r="D11" s="19" t="n">
        <v>0.570599995514875</v>
      </c>
      <c r="E11" s="19" t="n">
        <v>0.561948296047457</v>
      </c>
      <c r="F11" s="19" t="n">
        <v>0.580418474140633</v>
      </c>
      <c r="G11" s="8" t="n">
        <f aca="false">AVERAGE(B11:F11)</f>
        <v>0.575302242527427</v>
      </c>
      <c r="H11" s="8" t="n">
        <f aca="false">STDEV(B11:F11)</f>
        <v>0.00900105494857761</v>
      </c>
      <c r="I11" s="8" t="n">
        <f aca="false">IFERROR(INDEX(Benchmark!$F$2:$F$16,MATCH(A11,Benchmark!$A$2:$A$16,0)),"")</f>
        <v>0.589959824898343</v>
      </c>
      <c r="J11" s="8" t="n">
        <f aca="false">IF(I11="","",I11-G11)</f>
        <v>0.0146575823709159</v>
      </c>
      <c r="K11" s="8" t="str">
        <f aca="false">IF(I11="","",IF(ABS(J11)&lt;=2*H11,"sí","no"))</f>
        <v>sí</v>
      </c>
    </row>
    <row r="12" customFormat="false" ht="15" hidden="false" customHeight="false" outlineLevel="0" collapsed="false">
      <c r="A12" s="6" t="s">
        <v>41</v>
      </c>
      <c r="B12" s="19" t="n">
        <v>0.510187665900031</v>
      </c>
      <c r="C12" s="19" t="n">
        <v>0.564264099661024</v>
      </c>
      <c r="D12" s="19" t="n">
        <v>0.551328233039121</v>
      </c>
      <c r="E12" s="19" t="n">
        <v>0.570491321935899</v>
      </c>
      <c r="F12" s="19" t="n">
        <v>0.52505456534385</v>
      </c>
      <c r="G12" s="8" t="n">
        <f aca="false">AVERAGE(B12:F12)</f>
        <v>0.544265177175985</v>
      </c>
      <c r="H12" s="8" t="n">
        <f aca="false">STDEV(B12:F12)</f>
        <v>0.0258262400930919</v>
      </c>
      <c r="I12" s="8" t="n">
        <f aca="false">IFERROR(INDEX(Benchmark!$F$2:$F$16,MATCH(A12,Benchmark!$A$2:$A$16,0)),"")</f>
        <v>0.56305463267471</v>
      </c>
      <c r="J12" s="8" t="n">
        <f aca="false">IF(I12="","",I12-G12)</f>
        <v>0.0187894554987246</v>
      </c>
      <c r="K12" s="8" t="str">
        <f aca="false">IF(I12="","",IF(ABS(J12)&lt;=2*H12,"sí","no"))</f>
        <v>sí</v>
      </c>
    </row>
    <row r="13" customFormat="false" ht="15" hidden="false" customHeight="false" outlineLevel="0" collapsed="false">
      <c r="A13" s="6" t="s">
        <v>42</v>
      </c>
      <c r="B13" s="19" t="n">
        <v>0.528783352749867</v>
      </c>
      <c r="C13" s="19" t="n">
        <v>0.53184395685081</v>
      </c>
      <c r="D13" s="19" t="n">
        <v>0.535423851251485</v>
      </c>
      <c r="E13" s="19" t="n">
        <v>0.599735861071449</v>
      </c>
      <c r="F13" s="19" t="n">
        <v>0.534106150682084</v>
      </c>
      <c r="G13" s="8" t="n">
        <f aca="false">AVERAGE(B13:F13)</f>
        <v>0.545978634521139</v>
      </c>
      <c r="H13" s="8" t="n">
        <f aca="false">STDEV(B13:F13)</f>
        <v>0.0301565314517308</v>
      </c>
      <c r="I13" s="8" t="n">
        <f aca="false">IFERROR(INDEX(Benchmark!$F$2:$F$16,MATCH(A13,Benchmark!$A$2:$A$16,0)),"")</f>
        <v>0.544616346937807</v>
      </c>
      <c r="J13" s="8" t="n">
        <f aca="false">IF(I13="","",I13-G13)</f>
        <v>-0.00136228758333223</v>
      </c>
      <c r="K13" s="8" t="str">
        <f aca="false">IF(I13="","",IF(ABS(J13)&lt;=2*H13,"sí","no"))</f>
        <v>sí</v>
      </c>
    </row>
    <row r="14" customFormat="false" ht="15" hidden="false" customHeight="false" outlineLevel="0" collapsed="false">
      <c r="A14" s="6" t="s">
        <v>43</v>
      </c>
      <c r="B14" s="19" t="n">
        <v>0.619707944837416</v>
      </c>
      <c r="C14" s="19" t="n">
        <v>0.593908304997658</v>
      </c>
      <c r="D14" s="19" t="n">
        <v>0.548684944410226</v>
      </c>
      <c r="E14" s="19" t="n">
        <v>0.596032642116945</v>
      </c>
      <c r="F14" s="19" t="n">
        <v>0.43802994349596</v>
      </c>
      <c r="G14" s="8" t="n">
        <f aca="false">AVERAGE(B14:F14)</f>
        <v>0.559272755971641</v>
      </c>
      <c r="H14" s="8" t="n">
        <f aca="false">STDEV(B14:F14)</f>
        <v>0.0724831771338435</v>
      </c>
      <c r="I14" s="8" t="n">
        <f aca="false">IFERROR(INDEX(Benchmark!$F$2:$F$16,MATCH(A14,Benchmark!$A$2:$A$16,0)),"")</f>
        <v>0.615720874203297</v>
      </c>
      <c r="J14" s="8" t="n">
        <f aca="false">IF(I14="","",I14-G14)</f>
        <v>0.0564481182316556</v>
      </c>
      <c r="K14" s="8" t="str">
        <f aca="false">IF(I14="","",IF(ABS(J14)&lt;=2*H14,"sí","no"))</f>
        <v>sí</v>
      </c>
    </row>
    <row r="15" customFormat="false" ht="15" hidden="false" customHeight="false" outlineLevel="0" collapsed="false">
      <c r="A15" s="6" t="s">
        <v>44</v>
      </c>
      <c r="B15" s="19" t="n">
        <v>0.459228712597874</v>
      </c>
      <c r="C15" s="19" t="n">
        <v>0.445431365229003</v>
      </c>
      <c r="D15" s="19" t="n">
        <v>0.433234981948439</v>
      </c>
      <c r="E15" s="19" t="n">
        <v>0.395377948327791</v>
      </c>
      <c r="F15" s="19" t="n">
        <v>0.397218848389346</v>
      </c>
      <c r="G15" s="8" t="n">
        <f aca="false">AVERAGE(B15:F15)</f>
        <v>0.426098371298491</v>
      </c>
      <c r="H15" s="8" t="n">
        <f aca="false">STDEV(B15:F15)</f>
        <v>0.0287231901582079</v>
      </c>
      <c r="I15" s="8" t="n">
        <f aca="false">IFERROR(INDEX(Benchmark!$F$2:$F$16,MATCH(A15,Benchmark!$A$2:$A$16,0)),"")</f>
        <v>0.483503485309204</v>
      </c>
      <c r="J15" s="8" t="n">
        <f aca="false">IF(I15="","",I15-G15)</f>
        <v>0.0574051140107139</v>
      </c>
      <c r="K15" s="8" t="str">
        <f aca="false">IF(I15="","",IF(ABS(J15)&lt;=2*H15,"sí","no"))</f>
        <v>sí</v>
      </c>
    </row>
    <row r="17" customFormat="false" ht="15" hidden="false" customHeight="false" outlineLevel="0" collapsed="false">
      <c r="A17" s="11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11" min="3" style="0" width="12"/>
  </cols>
  <sheetData>
    <row r="1" customFormat="false" ht="31.5" hidden="false" customHeight="true" outlineLevel="0" collapsed="false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</row>
    <row r="2" customFormat="false" ht="15" hidden="false" customHeight="false" outlineLevel="0" collapsed="false">
      <c r="A2" s="6" t="s">
        <v>92</v>
      </c>
      <c r="B2" s="6" t="s">
        <v>93</v>
      </c>
      <c r="C2" s="8" t="n">
        <v>0.749812893975871</v>
      </c>
      <c r="D2" s="8" t="n">
        <v>0.78989247311828</v>
      </c>
      <c r="E2" s="8" t="n">
        <v>0.964137151566763</v>
      </c>
      <c r="F2" s="8" t="n">
        <v>0.792675628304264</v>
      </c>
      <c r="G2" s="8" t="n">
        <v>0.718569066700509</v>
      </c>
      <c r="H2" s="8" t="n">
        <v>0.69827491803282</v>
      </c>
      <c r="I2" s="8" t="n">
        <v>0.749812893975871</v>
      </c>
      <c r="J2" s="8" t="n">
        <v>0.965855219338337</v>
      </c>
      <c r="K2" s="8" t="n">
        <v>4.33130437111662</v>
      </c>
    </row>
    <row r="3" customFormat="false" ht="15" hidden="false" customHeight="false" outlineLevel="0" collapsed="false">
      <c r="A3" s="6" t="s">
        <v>92</v>
      </c>
      <c r="B3" s="6" t="s">
        <v>94</v>
      </c>
      <c r="C3" s="8" t="n">
        <v>0.513324048953797</v>
      </c>
      <c r="D3" s="8" t="n">
        <v>0.562150537634409</v>
      </c>
      <c r="E3" s="8" t="n">
        <v>0.871717132866232</v>
      </c>
      <c r="F3" s="8" t="n">
        <v>0.581986349620424</v>
      </c>
      <c r="G3" s="8" t="n">
        <v>0.402697403258578</v>
      </c>
      <c r="H3" s="8" t="n">
        <v>0.385673645657667</v>
      </c>
      <c r="I3" s="8" t="n">
        <v>0.513324048953797</v>
      </c>
      <c r="J3" s="8" t="n">
        <v>0.930957661904391</v>
      </c>
      <c r="K3" s="8" t="n">
        <v>6.81049992833086</v>
      </c>
    </row>
    <row r="4" customFormat="false" ht="15" hidden="false" customHeight="false" outlineLevel="0" collapsed="false">
      <c r="A4" s="6" t="s">
        <v>92</v>
      </c>
      <c r="B4" s="6" t="s">
        <v>95</v>
      </c>
      <c r="C4" s="8" t="n">
        <v>0.583315660894507</v>
      </c>
      <c r="D4" s="8" t="n">
        <v>0.626666666666667</v>
      </c>
      <c r="E4" s="8" t="n">
        <v>0.903436444730681</v>
      </c>
      <c r="F4" s="8" t="n">
        <v>0.636604219912429</v>
      </c>
      <c r="G4" s="8" t="n">
        <v>0.5019525698507</v>
      </c>
      <c r="H4" s="8" t="n">
        <v>0.477913610401474</v>
      </c>
      <c r="I4" s="8" t="n">
        <v>0.583315660894507</v>
      </c>
      <c r="J4" s="8" t="n">
        <v>0.939718411292666</v>
      </c>
      <c r="K4" s="8" t="n">
        <v>5.75023085285259</v>
      </c>
    </row>
    <row r="5" customFormat="false" ht="15" hidden="false" customHeight="false" outlineLevel="0" collapsed="false">
      <c r="A5" s="6" t="s">
        <v>92</v>
      </c>
      <c r="B5" s="6" t="s">
        <v>96</v>
      </c>
      <c r="C5" s="8" t="n">
        <v>0.592497756098605</v>
      </c>
      <c r="D5" s="8" t="n">
        <v>0.671827956989247</v>
      </c>
      <c r="E5" s="8" t="n">
        <v>0.923745568416025</v>
      </c>
      <c r="F5" s="8" t="n">
        <v>0.670451513508031</v>
      </c>
      <c r="G5" s="8" t="n">
        <v>0.549402015705593</v>
      </c>
      <c r="H5" s="8" t="n">
        <v>0.548699597658938</v>
      </c>
      <c r="I5" s="8" t="n">
        <v>0.592497756098605</v>
      </c>
      <c r="J5" s="8" t="n">
        <v>0.943348098871657</v>
      </c>
      <c r="K5" s="8" t="n">
        <v>5.61635583518013</v>
      </c>
    </row>
    <row r="6" customFormat="false" ht="15" hidden="false" customHeight="false" outlineLevel="0" collapsed="false">
      <c r="A6" s="6" t="s">
        <v>92</v>
      </c>
      <c r="B6" s="6" t="s">
        <v>97</v>
      </c>
      <c r="C6" s="8" t="n">
        <v>0.574990283600689</v>
      </c>
      <c r="D6" s="8" t="n">
        <v>0.571397849462366</v>
      </c>
      <c r="E6" s="8" t="n">
        <v>0.885255342604304</v>
      </c>
      <c r="F6" s="8" t="n">
        <v>0.592172677183147</v>
      </c>
      <c r="G6" s="8" t="n">
        <v>0.43864208864087</v>
      </c>
      <c r="H6" s="8" t="n">
        <v>0.406502769368586</v>
      </c>
      <c r="I6" s="8" t="n">
        <v>0.574990283600689</v>
      </c>
      <c r="J6" s="8" t="n">
        <v>0.933073643159829</v>
      </c>
      <c r="K6" s="8" t="n">
        <v>6.21004880212968</v>
      </c>
    </row>
    <row r="7" customFormat="false" ht="15" hidden="false" customHeight="false" outlineLevel="0" collapsed="false">
      <c r="A7" s="6" t="s">
        <v>92</v>
      </c>
      <c r="B7" s="6" t="s">
        <v>98</v>
      </c>
      <c r="C7" s="8" t="n">
        <v>0.247499399739111</v>
      </c>
      <c r="D7" s="8" t="n">
        <v>0.378709677419355</v>
      </c>
      <c r="E7" s="8" t="n">
        <v>0.777320882352034</v>
      </c>
      <c r="F7" s="8" t="n">
        <v>0.382254484600683</v>
      </c>
      <c r="G7" s="8" t="n">
        <v>0.204825962588656</v>
      </c>
      <c r="H7" s="8" t="n">
        <v>0.365339024965411</v>
      </c>
      <c r="I7" s="8" t="n">
        <v>0.247499399739111</v>
      </c>
      <c r="J7" s="8" t="n">
        <v>0.904871579582973</v>
      </c>
      <c r="K7" s="8" t="n">
        <v>13.7804694314413</v>
      </c>
    </row>
    <row r="8" customFormat="false" ht="15" hidden="false" customHeight="false" outlineLevel="0" collapsed="false">
      <c r="A8" s="6" t="s">
        <v>92</v>
      </c>
      <c r="B8" s="6" t="s">
        <v>99</v>
      </c>
      <c r="C8" s="8" t="n">
        <v>0.228531099177328</v>
      </c>
      <c r="D8" s="8" t="n">
        <v>0.305376344086022</v>
      </c>
      <c r="E8" s="8" t="n">
        <v>0.702410585670145</v>
      </c>
      <c r="F8" s="8" t="n">
        <v>0.335000052284187</v>
      </c>
      <c r="G8" s="8" t="n">
        <v>0.133296824758312</v>
      </c>
      <c r="H8" s="8" t="n">
        <v>0.161400051550956</v>
      </c>
      <c r="I8" s="8" t="n">
        <v>0.228531099177328</v>
      </c>
      <c r="J8" s="8" t="n">
        <v>0.898453413740226</v>
      </c>
      <c r="K8" s="8" t="n">
        <v>12.2632815540478</v>
      </c>
    </row>
    <row r="9" customFormat="false" ht="15" hidden="false" customHeight="false" outlineLevel="0" collapsed="false">
      <c r="A9" s="6" t="s">
        <v>92</v>
      </c>
      <c r="B9" s="6" t="s">
        <v>100</v>
      </c>
      <c r="C9" s="8" t="n">
        <v>0.513750078645738</v>
      </c>
      <c r="D9" s="8" t="n">
        <v>0.564301075268817</v>
      </c>
      <c r="E9" s="8" t="n">
        <v>0.868524246593477</v>
      </c>
      <c r="F9" s="8" t="n">
        <v>0.582345817317967</v>
      </c>
      <c r="G9" s="8" t="n">
        <v>0.401660028989869</v>
      </c>
      <c r="H9" s="8" t="n">
        <v>0.384835833691741</v>
      </c>
      <c r="I9" s="8" t="n">
        <v>0.513750078645738</v>
      </c>
      <c r="J9" s="8" t="n">
        <v>0.930854051951546</v>
      </c>
      <c r="K9" s="8" t="n">
        <v>6.93916953084289</v>
      </c>
    </row>
    <row r="10" customFormat="false" ht="15" hidden="false" customHeight="false" outlineLevel="0" collapsed="false">
      <c r="A10" s="6" t="s">
        <v>92</v>
      </c>
      <c r="B10" s="6" t="s">
        <v>101</v>
      </c>
      <c r="C10" s="8" t="n">
        <v>0.509797863156317</v>
      </c>
      <c r="D10" s="8" t="n">
        <v>0.561075268817204</v>
      </c>
      <c r="E10" s="8" t="n">
        <v>0.870479127502712</v>
      </c>
      <c r="F10" s="8" t="n">
        <v>0.580866054458438</v>
      </c>
      <c r="G10" s="8" t="n">
        <v>0.39858898520381</v>
      </c>
      <c r="H10" s="8" t="n">
        <v>0.382002460515727</v>
      </c>
      <c r="I10" s="8" t="n">
        <v>0.509797863156317</v>
      </c>
      <c r="J10" s="8" t="n">
        <v>0.930624206070893</v>
      </c>
      <c r="K10" s="8" t="n">
        <v>6.82970343823074</v>
      </c>
    </row>
    <row r="11" customFormat="false" ht="15" hidden="false" customHeight="false" outlineLevel="0" collapsed="false">
      <c r="A11" s="6" t="s">
        <v>92</v>
      </c>
      <c r="B11" s="6" t="s">
        <v>102</v>
      </c>
      <c r="C11" s="8" t="n">
        <v>0.512982240192036</v>
      </c>
      <c r="D11" s="8" t="n">
        <v>0.564516129032258</v>
      </c>
      <c r="E11" s="8" t="n">
        <v>0.870715685926751</v>
      </c>
      <c r="F11" s="8" t="n">
        <v>0.584305863137008</v>
      </c>
      <c r="G11" s="8" t="n">
        <v>0.402856963823645</v>
      </c>
      <c r="H11" s="8" t="n">
        <v>0.386404027534421</v>
      </c>
      <c r="I11" s="8" t="n">
        <v>0.512982240192036</v>
      </c>
      <c r="J11" s="8" t="n">
        <v>0.93115161841874</v>
      </c>
      <c r="K11" s="8" t="n">
        <v>6.86422801161325</v>
      </c>
    </row>
    <row r="12" customFormat="false" ht="15" hidden="false" customHeight="false" outlineLevel="0" collapsed="false">
      <c r="A12" s="6" t="s">
        <v>92</v>
      </c>
      <c r="B12" s="6" t="s">
        <v>103</v>
      </c>
      <c r="C12" s="8" t="n">
        <v>0.507902981400849</v>
      </c>
      <c r="D12" s="8" t="n">
        <v>0.556989247311828</v>
      </c>
      <c r="E12" s="8" t="n">
        <v>0.868151580560927</v>
      </c>
      <c r="F12" s="8" t="n">
        <v>0.577651752973928</v>
      </c>
      <c r="G12" s="8" t="n">
        <v>0.395382298980047</v>
      </c>
      <c r="H12" s="8" t="n">
        <v>0.378014768365076</v>
      </c>
      <c r="I12" s="8" t="n">
        <v>0.507902981400849</v>
      </c>
      <c r="J12" s="8" t="n">
        <v>0.930415428870581</v>
      </c>
      <c r="K12" s="8" t="n">
        <v>6.90580551155152</v>
      </c>
    </row>
    <row r="13" customFormat="false" ht="15" hidden="false" customHeight="false" outlineLevel="0" collapsed="false">
      <c r="A13" s="6" t="s">
        <v>92</v>
      </c>
      <c r="B13" s="6" t="s">
        <v>104</v>
      </c>
      <c r="C13" s="8" t="n">
        <v>0.573384431367891</v>
      </c>
      <c r="D13" s="8" t="n">
        <v>0.627311827956989</v>
      </c>
      <c r="E13" s="8" t="n">
        <v>0.901558563775064</v>
      </c>
      <c r="F13" s="8" t="n">
        <v>0.63436453276408</v>
      </c>
      <c r="G13" s="8" t="n">
        <v>0.482281214834604</v>
      </c>
      <c r="H13" s="8" t="n">
        <v>0.453755567122773</v>
      </c>
      <c r="I13" s="8" t="n">
        <v>0.573384431367891</v>
      </c>
      <c r="J13" s="8" t="n">
        <v>0.938546517732095</v>
      </c>
      <c r="K13" s="8" t="n">
        <v>5.81429492909421</v>
      </c>
    </row>
    <row r="14" customFormat="false" ht="15" hidden="false" customHeight="false" outlineLevel="0" collapsed="false">
      <c r="A14" s="6" t="s">
        <v>92</v>
      </c>
      <c r="B14" s="6" t="s">
        <v>105</v>
      </c>
      <c r="C14" s="8" t="n">
        <v>0.583617505128513</v>
      </c>
      <c r="D14" s="8" t="n">
        <v>0.628817204301075</v>
      </c>
      <c r="E14" s="8" t="n">
        <v>0.902711923611037</v>
      </c>
      <c r="F14" s="8" t="n">
        <v>0.635654114759188</v>
      </c>
      <c r="G14" s="8" t="n">
        <v>0.498478977325952</v>
      </c>
      <c r="H14" s="8" t="n">
        <v>0.466855727998124</v>
      </c>
      <c r="I14" s="8" t="n">
        <v>0.583617505128513</v>
      </c>
      <c r="J14" s="8" t="n">
        <v>0.938784657426149</v>
      </c>
      <c r="K14" s="8" t="n">
        <v>5.7447503618912</v>
      </c>
    </row>
    <row r="15" customFormat="false" ht="15" hidden="false" customHeight="false" outlineLevel="0" collapsed="false">
      <c r="A15" s="6" t="s">
        <v>92</v>
      </c>
      <c r="B15" s="6" t="s">
        <v>106</v>
      </c>
      <c r="C15" s="8" t="n">
        <v>0.56946188284947</v>
      </c>
      <c r="D15" s="8" t="n">
        <v>0.62258064516129</v>
      </c>
      <c r="E15" s="8" t="n">
        <v>0.902325124920635</v>
      </c>
      <c r="F15" s="8" t="n">
        <v>0.631114877543987</v>
      </c>
      <c r="G15" s="8" t="n">
        <v>0.488136160940709</v>
      </c>
      <c r="H15" s="8" t="n">
        <v>0.461606985602996</v>
      </c>
      <c r="I15" s="8" t="n">
        <v>0.56946188284947</v>
      </c>
      <c r="J15" s="8" t="n">
        <v>0.93846804631727</v>
      </c>
      <c r="K15" s="8" t="n">
        <v>5.8421320037688</v>
      </c>
    </row>
    <row r="16" customFormat="false" ht="15" hidden="false" customHeight="false" outlineLevel="0" collapsed="false">
      <c r="A16" s="6" t="s">
        <v>92</v>
      </c>
      <c r="B16" s="6" t="s">
        <v>107</v>
      </c>
      <c r="C16" s="8" t="n">
        <v>0.576779689722018</v>
      </c>
      <c r="D16" s="8" t="n">
        <v>0.619139784946237</v>
      </c>
      <c r="E16" s="8" t="n">
        <v>0.900095231668529</v>
      </c>
      <c r="F16" s="8" t="n">
        <v>0.627824970587563</v>
      </c>
      <c r="G16" s="8" t="n">
        <v>0.49020335490524</v>
      </c>
      <c r="H16" s="8" t="n">
        <v>0.464617026957455</v>
      </c>
      <c r="I16" s="8" t="n">
        <v>0.576779689722018</v>
      </c>
      <c r="J16" s="8" t="n">
        <v>0.937855913800881</v>
      </c>
      <c r="K16" s="8" t="n">
        <v>5.79441938318232</v>
      </c>
    </row>
    <row r="17" customFormat="false" ht="15" hidden="false" customHeight="false" outlineLevel="0" collapsed="false">
      <c r="A17" s="6" t="s">
        <v>92</v>
      </c>
      <c r="B17" s="6" t="s">
        <v>108</v>
      </c>
      <c r="C17" s="8" t="n">
        <v>0.61131569792631</v>
      </c>
      <c r="D17" s="8" t="n">
        <v>0.697204301075269</v>
      </c>
      <c r="E17" s="8" t="n">
        <v>0.922982008424514</v>
      </c>
      <c r="F17" s="8" t="n">
        <v>0.694599153726924</v>
      </c>
      <c r="G17" s="8" t="n">
        <v>0.587705725095886</v>
      </c>
      <c r="H17" s="8" t="n">
        <v>0.578005430746043</v>
      </c>
      <c r="I17" s="8" t="n">
        <v>0.61131569792631</v>
      </c>
      <c r="J17" s="8" t="n">
        <v>0.947272305380773</v>
      </c>
      <c r="K17" s="8" t="n">
        <v>5.70192287784751</v>
      </c>
    </row>
    <row r="18" customFormat="false" ht="15" hidden="false" customHeight="false" outlineLevel="0" collapsed="false">
      <c r="A18" s="6" t="s">
        <v>92</v>
      </c>
      <c r="B18" s="6" t="s">
        <v>109</v>
      </c>
      <c r="C18" s="8" t="n">
        <v>0.618180873342815</v>
      </c>
      <c r="D18" s="8" t="n">
        <v>0.686236559139785</v>
      </c>
      <c r="E18" s="8" t="n">
        <v>0.922892268271769</v>
      </c>
      <c r="F18" s="8" t="n">
        <v>0.679450304318467</v>
      </c>
      <c r="G18" s="8" t="n">
        <v>0.564938088080172</v>
      </c>
      <c r="H18" s="8" t="n">
        <v>0.557434659567417</v>
      </c>
      <c r="I18" s="8" t="n">
        <v>0.618180873342815</v>
      </c>
      <c r="J18" s="8" t="n">
        <v>0.944107905640581</v>
      </c>
      <c r="K18" s="8" t="n">
        <v>5.88312419619291</v>
      </c>
    </row>
    <row r="19" customFormat="false" ht="15" hidden="false" customHeight="false" outlineLevel="0" collapsed="false">
      <c r="A19" s="6" t="s">
        <v>92</v>
      </c>
      <c r="B19" s="6" t="s">
        <v>110</v>
      </c>
      <c r="C19" s="8" t="n">
        <v>0.599858106265543</v>
      </c>
      <c r="D19" s="8" t="n">
        <v>0.681505376344086</v>
      </c>
      <c r="E19" s="8" t="n">
        <v>0.922824776192847</v>
      </c>
      <c r="F19" s="8" t="n">
        <v>0.680384760188994</v>
      </c>
      <c r="G19" s="8" t="n">
        <v>0.549699523088215</v>
      </c>
      <c r="H19" s="8" t="n">
        <v>0.531622472976851</v>
      </c>
      <c r="I19" s="8" t="n">
        <v>0.599858106265543</v>
      </c>
      <c r="J19" s="8" t="n">
        <v>0.945105787249939</v>
      </c>
      <c r="K19" s="8" t="n">
        <v>5.79727663126684</v>
      </c>
    </row>
    <row r="20" customFormat="false" ht="15" hidden="false" customHeight="false" outlineLevel="0" collapsed="false">
      <c r="A20" s="6" t="s">
        <v>92</v>
      </c>
      <c r="B20" s="6" t="s">
        <v>111</v>
      </c>
      <c r="C20" s="8" t="n">
        <v>0.581309821819233</v>
      </c>
      <c r="D20" s="8" t="n">
        <v>0.651827956989247</v>
      </c>
      <c r="E20" s="8" t="n">
        <v>0.914041289587851</v>
      </c>
      <c r="F20" s="8" t="n">
        <v>0.654937923631047</v>
      </c>
      <c r="G20" s="8" t="n">
        <v>0.533734284144197</v>
      </c>
      <c r="H20" s="8" t="n">
        <v>0.527518761780849</v>
      </c>
      <c r="I20" s="8" t="n">
        <v>0.581309821819233</v>
      </c>
      <c r="J20" s="8" t="n">
        <v>0.941452994004439</v>
      </c>
      <c r="K20" s="8" t="n">
        <v>5.91153179103328</v>
      </c>
    </row>
    <row r="21" customFormat="false" ht="15" hidden="false" customHeight="false" outlineLevel="0" collapsed="false">
      <c r="A21" s="6" t="s">
        <v>92</v>
      </c>
      <c r="B21" s="6" t="s">
        <v>112</v>
      </c>
      <c r="C21" s="8" t="n">
        <v>0.594666229325386</v>
      </c>
      <c r="D21" s="8" t="n">
        <v>0.608172043010753</v>
      </c>
      <c r="E21" s="8" t="n">
        <v>0.903216040383907</v>
      </c>
      <c r="F21" s="8" t="n">
        <v>0.621398112945094</v>
      </c>
      <c r="G21" s="8" t="n">
        <v>0.467028488254042</v>
      </c>
      <c r="H21" s="8" t="n">
        <v>0.440675185130446</v>
      </c>
      <c r="I21" s="8" t="n">
        <v>0.594666229325386</v>
      </c>
      <c r="J21" s="8" t="n">
        <v>0.937263340714046</v>
      </c>
      <c r="K21" s="8" t="n">
        <v>5.55266900398398</v>
      </c>
    </row>
    <row r="22" customFormat="false" ht="15" hidden="false" customHeight="false" outlineLevel="0" collapsed="false">
      <c r="A22" s="6" t="s">
        <v>92</v>
      </c>
      <c r="B22" s="6" t="s">
        <v>113</v>
      </c>
      <c r="C22" s="8" t="n">
        <v>0.447063002490188</v>
      </c>
      <c r="D22" s="8" t="n">
        <v>0.580430107526882</v>
      </c>
      <c r="E22" s="8" t="n">
        <v>0.875702783859976</v>
      </c>
      <c r="F22" s="8" t="n">
        <v>0.58901670839366</v>
      </c>
      <c r="G22" s="8" t="n">
        <v>0.433581203631465</v>
      </c>
      <c r="H22" s="8" t="n">
        <v>0.461529041412555</v>
      </c>
      <c r="I22" s="8" t="n">
        <v>0.447063002490188</v>
      </c>
      <c r="J22" s="8" t="n">
        <v>0.931319622502544</v>
      </c>
      <c r="K22" s="8" t="n">
        <v>8.65796847348572</v>
      </c>
    </row>
    <row r="23" customFormat="false" ht="15" hidden="false" customHeight="false" outlineLevel="0" collapsed="false">
      <c r="A23" s="6" t="s">
        <v>92</v>
      </c>
      <c r="B23" s="6" t="s">
        <v>114</v>
      </c>
      <c r="C23" s="8" t="n">
        <v>0.433498618848008</v>
      </c>
      <c r="D23" s="8" t="n">
        <v>0.527096774193548</v>
      </c>
      <c r="E23" s="8" t="n">
        <v>0.846321768295429</v>
      </c>
      <c r="F23" s="8" t="n">
        <v>0.545980752133129</v>
      </c>
      <c r="G23" s="8" t="n">
        <v>0.364217415645635</v>
      </c>
      <c r="H23" s="8" t="n">
        <v>0.385304024147234</v>
      </c>
      <c r="I23" s="8" t="n">
        <v>0.433498618848008</v>
      </c>
      <c r="J23" s="8" t="n">
        <v>0.924509443603641</v>
      </c>
      <c r="K23" s="8" t="n">
        <v>8.52555471853543</v>
      </c>
    </row>
    <row r="24" customFormat="false" ht="15" hidden="false" customHeight="false" outlineLevel="0" collapsed="false">
      <c r="A24" s="6" t="s">
        <v>92</v>
      </c>
      <c r="B24" s="6" t="s">
        <v>115</v>
      </c>
      <c r="C24" s="8" t="n">
        <v>0.54465336154499</v>
      </c>
      <c r="D24" s="8" t="n">
        <v>0.560645161290323</v>
      </c>
      <c r="E24" s="8" t="n">
        <v>0.882891409923496</v>
      </c>
      <c r="F24" s="8" t="n">
        <v>0.585353985702514</v>
      </c>
      <c r="G24" s="8" t="n">
        <v>0.436343190744742</v>
      </c>
      <c r="H24" s="8" t="n">
        <v>0.421355884303861</v>
      </c>
      <c r="I24" s="8" t="n">
        <v>0.54465336154499</v>
      </c>
      <c r="J24" s="8" t="n">
        <v>0.931602063890918</v>
      </c>
      <c r="K24" s="8" t="n">
        <v>6.48125956883995</v>
      </c>
    </row>
    <row r="25" customFormat="false" ht="15" hidden="false" customHeight="false" outlineLevel="0" collapsed="false">
      <c r="A25" s="6" t="s">
        <v>92</v>
      </c>
      <c r="B25" s="6" t="s">
        <v>116</v>
      </c>
      <c r="C25" s="8" t="n">
        <v>0.358979034624722</v>
      </c>
      <c r="D25" s="8" t="n">
        <v>0.365376344086022</v>
      </c>
      <c r="E25" s="8" t="n">
        <v>0.794327400359057</v>
      </c>
      <c r="F25" s="8" t="n">
        <v>0.402907271150353</v>
      </c>
      <c r="G25" s="8" t="n">
        <v>0.215260230750791</v>
      </c>
      <c r="H25" s="8" t="n">
        <v>0.316110909937763</v>
      </c>
      <c r="I25" s="8" t="n">
        <v>0.358979034624722</v>
      </c>
      <c r="J25" s="8" t="n">
        <v>0.905204833910865</v>
      </c>
      <c r="K25" s="8" t="n">
        <v>9.53005668578609</v>
      </c>
    </row>
    <row r="26" customFormat="false" ht="15" hidden="false" customHeight="false" outlineLevel="0" collapsed="false">
      <c r="A26" s="6" t="s">
        <v>92</v>
      </c>
      <c r="B26" s="6" t="s">
        <v>117</v>
      </c>
      <c r="C26" s="8" t="n">
        <v>0.239458101817994</v>
      </c>
      <c r="D26" s="8" t="n">
        <v>0.383655913978495</v>
      </c>
      <c r="E26" s="8" t="n">
        <v>0.735946778915594</v>
      </c>
      <c r="F26" s="8" t="n">
        <v>0.386972822336616</v>
      </c>
      <c r="G26" s="8" t="n">
        <v>0.17270493982635</v>
      </c>
      <c r="H26" s="8" t="n">
        <v>0.201873720552767</v>
      </c>
      <c r="I26" s="8" t="n">
        <v>0.239458101817994</v>
      </c>
      <c r="J26" s="8" t="n">
        <v>0.904373052415513</v>
      </c>
      <c r="K26" s="8" t="n">
        <v>11.8480103770123</v>
      </c>
    </row>
    <row r="27" customFormat="false" ht="15" hidden="false" customHeight="false" outlineLevel="0" collapsed="false">
      <c r="A27" s="6" t="s">
        <v>92</v>
      </c>
      <c r="B27" s="6" t="s">
        <v>118</v>
      </c>
      <c r="C27" s="8" t="n">
        <v>0.33856078317223</v>
      </c>
      <c r="D27" s="8" t="n">
        <v>0.271182795698925</v>
      </c>
      <c r="E27" s="8" t="n">
        <v>0.77250545149164</v>
      </c>
      <c r="F27" s="8" t="n">
        <v>0.336829959968639</v>
      </c>
      <c r="G27" s="8" t="n">
        <v>0.207056964533489</v>
      </c>
      <c r="H27" s="8" t="n">
        <v>0.260882142570413</v>
      </c>
      <c r="I27" s="8" t="n">
        <v>0.33856078317223</v>
      </c>
      <c r="J27" s="8" t="n">
        <v>0.898788466276377</v>
      </c>
      <c r="K27" s="8" t="n">
        <v>9.87524875999779</v>
      </c>
    </row>
    <row r="28" customFormat="false" ht="15" hidden="false" customHeight="false" outlineLevel="0" collapsed="false">
      <c r="A28" s="6" t="s">
        <v>92</v>
      </c>
      <c r="B28" s="6" t="s">
        <v>119</v>
      </c>
      <c r="C28" s="8" t="n">
        <v>0.219649232273667</v>
      </c>
      <c r="D28" s="8" t="n">
        <v>0.188387096774194</v>
      </c>
      <c r="E28" s="8" t="n">
        <v>0.671362466855586</v>
      </c>
      <c r="F28" s="8" t="n">
        <v>0.243788500863516</v>
      </c>
      <c r="G28" s="8" t="n">
        <v>0.143068085921642</v>
      </c>
      <c r="H28" s="8" t="n">
        <v>0.22026108446879</v>
      </c>
      <c r="I28" s="8" t="n">
        <v>0.219649232273667</v>
      </c>
      <c r="J28" s="8" t="n">
        <v>0.889703240682051</v>
      </c>
      <c r="K28" s="8" t="n">
        <v>11.9670683120912</v>
      </c>
    </row>
    <row r="29" customFormat="false" ht="15" hidden="false" customHeight="false" outlineLevel="0" collapsed="false">
      <c r="A29" s="6" t="s">
        <v>92</v>
      </c>
      <c r="B29" s="6" t="s">
        <v>120</v>
      </c>
      <c r="C29" s="8" t="n">
        <v>0.229426071390457</v>
      </c>
      <c r="D29" s="8" t="n">
        <v>0.377634408602151</v>
      </c>
      <c r="E29" s="8" t="n">
        <v>0.703541168770153</v>
      </c>
      <c r="F29" s="8" t="n">
        <v>0.389460229471548</v>
      </c>
      <c r="G29" s="8" t="n">
        <v>0.138031441243622</v>
      </c>
      <c r="H29" s="8" t="n">
        <v>0.148334270417401</v>
      </c>
      <c r="I29" s="8" t="n">
        <v>0.229426071390457</v>
      </c>
      <c r="J29" s="8" t="n">
        <v>0.903768505484664</v>
      </c>
      <c r="K29" s="8" t="n">
        <v>12.5811462953014</v>
      </c>
    </row>
    <row r="30" customFormat="false" ht="15" hidden="false" customHeight="false" outlineLevel="0" collapsed="false">
      <c r="A30" s="6" t="s">
        <v>92</v>
      </c>
      <c r="B30" s="6" t="s">
        <v>121</v>
      </c>
      <c r="C30" s="8" t="n">
        <v>0.214303581190022</v>
      </c>
      <c r="D30" s="8" t="n">
        <v>0.296774193548387</v>
      </c>
      <c r="E30" s="8" t="n">
        <v>0.708624958769931</v>
      </c>
      <c r="F30" s="8" t="n">
        <v>0.298776359357784</v>
      </c>
      <c r="G30" s="8" t="n">
        <v>0.120619479293723</v>
      </c>
      <c r="H30" s="8" t="n">
        <v>0.151200270642593</v>
      </c>
      <c r="I30" s="8" t="n">
        <v>0.214303581190022</v>
      </c>
      <c r="J30" s="8" t="n">
        <v>0.895853832422391</v>
      </c>
      <c r="K30" s="8" t="n">
        <v>12.6340531262018</v>
      </c>
    </row>
    <row r="31" customFormat="false" ht="15" hidden="false" customHeight="false" outlineLevel="0" collapsed="false">
      <c r="A31" s="6" t="s">
        <v>92</v>
      </c>
      <c r="B31" s="6" t="s">
        <v>122</v>
      </c>
      <c r="C31" s="8" t="n">
        <v>0.130010299626091</v>
      </c>
      <c r="D31" s="8" t="n">
        <v>0.0393548387096774</v>
      </c>
      <c r="E31" s="8" t="n">
        <v>0.641264081310983</v>
      </c>
      <c r="F31" s="8" t="n">
        <v>0.0507474517787888</v>
      </c>
      <c r="G31" s="8" t="n">
        <v>0.0162780257918813</v>
      </c>
      <c r="H31" s="8" t="n">
        <v>0.197636879646373</v>
      </c>
      <c r="I31" s="8" t="n">
        <v>0.130010299626091</v>
      </c>
      <c r="J31" s="8" t="n">
        <v>0.876085484456961</v>
      </c>
      <c r="K31" s="8" t="n">
        <v>13.7020989275491</v>
      </c>
    </row>
    <row r="32" customFormat="false" ht="15" hidden="false" customHeight="false" outlineLevel="0" collapsed="false">
      <c r="A32" s="6" t="s">
        <v>92</v>
      </c>
      <c r="B32" s="6" t="s">
        <v>123</v>
      </c>
      <c r="C32" s="8" t="n">
        <v>0.143516729536202</v>
      </c>
      <c r="D32" s="8" t="n">
        <v>0.307741935483871</v>
      </c>
      <c r="E32" s="8" t="n">
        <v>0.5220626746751</v>
      </c>
      <c r="F32" s="8" t="n">
        <v>0.254639259115843</v>
      </c>
      <c r="G32" s="8" t="n">
        <v>0.0927180543305179</v>
      </c>
      <c r="H32" s="8" t="n">
        <v>0.0909392639223479</v>
      </c>
      <c r="I32" s="8" t="n">
        <v>0.143516729536202</v>
      </c>
      <c r="J32" s="8" t="n">
        <v>0.880697500518419</v>
      </c>
      <c r="K32" s="8" t="n">
        <v>32.8328716462402</v>
      </c>
    </row>
    <row r="33" customFormat="false" ht="15" hidden="false" customHeight="false" outlineLevel="0" collapsed="false">
      <c r="A33" s="6" t="s">
        <v>92</v>
      </c>
      <c r="B33" s="6" t="s">
        <v>124</v>
      </c>
      <c r="C33" s="8" t="n">
        <v>0.416933464781615</v>
      </c>
      <c r="D33" s="8" t="n">
        <v>0.493978494623656</v>
      </c>
      <c r="E33" s="8" t="n">
        <v>0.821775780905105</v>
      </c>
      <c r="F33" s="8" t="n">
        <v>0.522303283666957</v>
      </c>
      <c r="G33" s="8" t="n">
        <v>0.319183170408233</v>
      </c>
      <c r="H33" s="8" t="n">
        <v>0.327597976041148</v>
      </c>
      <c r="I33" s="8" t="n">
        <v>0.416933464781615</v>
      </c>
      <c r="J33" s="8" t="n">
        <v>0.921051700145364</v>
      </c>
      <c r="K33" s="8" t="n">
        <v>9.22936029700823</v>
      </c>
    </row>
    <row r="34" customFormat="false" ht="15" hidden="false" customHeight="false" outlineLevel="0" collapsed="false">
      <c r="A34" s="6" t="s">
        <v>92</v>
      </c>
      <c r="B34" s="6" t="s">
        <v>125</v>
      </c>
      <c r="C34" s="8" t="n">
        <v>0.478831746143607</v>
      </c>
      <c r="D34" s="8" t="n">
        <v>0.528387096774194</v>
      </c>
      <c r="E34" s="8" t="n">
        <v>0.85895218716925</v>
      </c>
      <c r="F34" s="8" t="n">
        <v>0.553008235350665</v>
      </c>
      <c r="G34" s="8" t="n">
        <v>0.356778482051406</v>
      </c>
      <c r="H34" s="8" t="n">
        <v>0.360569634408194</v>
      </c>
      <c r="I34" s="8" t="n">
        <v>0.478831746143607</v>
      </c>
      <c r="J34" s="8" t="n">
        <v>0.925108241406311</v>
      </c>
      <c r="K34" s="8" t="n">
        <v>8.18448609000893</v>
      </c>
    </row>
    <row r="35" customFormat="false" ht="15" hidden="false" customHeight="false" outlineLevel="0" collapsed="false">
      <c r="A35" s="6" t="s">
        <v>92</v>
      </c>
      <c r="B35" s="6" t="s">
        <v>126</v>
      </c>
      <c r="C35" s="8" t="n">
        <v>0.499751175340032</v>
      </c>
      <c r="D35" s="8" t="n">
        <v>0.57741935483871</v>
      </c>
      <c r="E35" s="8" t="n">
        <v>0.868386156671875</v>
      </c>
      <c r="F35" s="8" t="n">
        <v>0.579966533665406</v>
      </c>
      <c r="G35" s="8" t="n">
        <v>0.439569694698092</v>
      </c>
      <c r="H35" s="8" t="n">
        <v>0.424412101334422</v>
      </c>
      <c r="I35" s="8" t="n">
        <v>0.499751175340032</v>
      </c>
      <c r="J35" s="8" t="n">
        <v>0.927088929967324</v>
      </c>
      <c r="K35" s="8" t="n">
        <v>7.49773008149157</v>
      </c>
    </row>
    <row r="36" customFormat="false" ht="15" hidden="false" customHeight="false" outlineLevel="0" collapsed="false">
      <c r="A36" s="6" t="s">
        <v>92</v>
      </c>
      <c r="B36" s="6" t="s">
        <v>127</v>
      </c>
      <c r="C36" s="8" t="n">
        <v>0.455861375777209</v>
      </c>
      <c r="D36" s="8" t="n">
        <v>0.511827956989247</v>
      </c>
      <c r="E36" s="8" t="n">
        <v>0.865906742991605</v>
      </c>
      <c r="F36" s="8" t="n">
        <v>0.525079418241606</v>
      </c>
      <c r="G36" s="8" t="n">
        <v>0.378278904288674</v>
      </c>
      <c r="H36" s="8" t="n">
        <v>0.411010667977622</v>
      </c>
      <c r="I36" s="8" t="n">
        <v>0.455861375777209</v>
      </c>
      <c r="J36" s="8" t="n">
        <v>0.921080677000905</v>
      </c>
      <c r="K36" s="8" t="n">
        <v>12.2231961659975</v>
      </c>
    </row>
    <row r="37" customFormat="false" ht="15" hidden="false" customHeight="false" outlineLevel="0" collapsed="false">
      <c r="A37" s="6" t="s">
        <v>92</v>
      </c>
      <c r="B37" s="6" t="s">
        <v>128</v>
      </c>
      <c r="C37" s="8" t="n">
        <v>0.125</v>
      </c>
      <c r="D37" s="8" t="n">
        <v>0.183440860215054</v>
      </c>
      <c r="E37" s="8" t="n">
        <v>0.5</v>
      </c>
      <c r="F37" s="8" t="n">
        <v>0.0568690000957445</v>
      </c>
      <c r="G37" s="8" t="n">
        <v>0.0387515900417954</v>
      </c>
      <c r="H37" s="8" t="n">
        <v>0.0229301075268817</v>
      </c>
      <c r="I37" s="8" t="n">
        <v>0.125</v>
      </c>
      <c r="J37" s="8" t="n">
        <v>0.875</v>
      </c>
      <c r="K37" s="8" t="n">
        <v>35396.1229935316</v>
      </c>
    </row>
    <row r="38" customFormat="false" ht="15" hidden="false" customHeight="false" outlineLevel="0" collapsed="false">
      <c r="A38" s="6" t="s">
        <v>92</v>
      </c>
      <c r="B38" s="6" t="s">
        <v>129</v>
      </c>
      <c r="C38" s="8" t="n">
        <v>0.125</v>
      </c>
      <c r="D38" s="8" t="n">
        <v>0.10236559139785</v>
      </c>
      <c r="E38" s="8" t="n">
        <v>0.5</v>
      </c>
      <c r="F38" s="8" t="n">
        <v>0.0190113232560969</v>
      </c>
      <c r="G38" s="8" t="n">
        <v>0.0232149824424503</v>
      </c>
      <c r="H38" s="8" t="n">
        <v>0.0127956989247312</v>
      </c>
      <c r="I38" s="8" t="n">
        <v>0.125</v>
      </c>
      <c r="J38" s="8" t="n">
        <v>0.875</v>
      </c>
      <c r="K38" s="8" t="n">
        <v>52509002720.9497</v>
      </c>
    </row>
    <row r="39" customFormat="false" ht="15" hidden="false" customHeight="false" outlineLevel="0" collapsed="false">
      <c r="A39" s="6" t="s">
        <v>92</v>
      </c>
      <c r="B39" s="6" t="s">
        <v>130</v>
      </c>
      <c r="C39" s="8" t="n">
        <v>0.4495363960537</v>
      </c>
      <c r="D39" s="8" t="n">
        <v>0.506236559139785</v>
      </c>
      <c r="E39" s="8" t="n">
        <v>0.85263312204255</v>
      </c>
      <c r="F39" s="8" t="n">
        <v>0.537739103045392</v>
      </c>
      <c r="G39" s="8" t="n">
        <v>0.335069088287578</v>
      </c>
      <c r="H39" s="8" t="n">
        <v>0.360676068006642</v>
      </c>
      <c r="I39" s="8" t="n">
        <v>0.4495363960537</v>
      </c>
      <c r="J39" s="8" t="n">
        <v>0.921761591345778</v>
      </c>
      <c r="K39" s="8" t="n">
        <v>7.90018811836038</v>
      </c>
    </row>
    <row r="40" customFormat="false" ht="15" hidden="false" customHeight="false" outlineLevel="0" collapsed="false">
      <c r="A40" s="6" t="s">
        <v>92</v>
      </c>
      <c r="B40" s="6" t="s">
        <v>131</v>
      </c>
      <c r="C40" s="8" t="n">
        <v>0.562211355386382</v>
      </c>
      <c r="D40" s="8" t="n">
        <v>0.581290322580645</v>
      </c>
      <c r="E40" s="8" t="n">
        <v>0.889900822316076</v>
      </c>
      <c r="F40" s="8" t="n">
        <v>0.597720982848097</v>
      </c>
      <c r="G40" s="8" t="n">
        <v>0.414741407658722</v>
      </c>
      <c r="H40" s="8" t="n">
        <v>0.403813358748063</v>
      </c>
      <c r="I40" s="8" t="n">
        <v>0.562211355386382</v>
      </c>
      <c r="J40" s="8" t="n">
        <v>0.932974498015627</v>
      </c>
      <c r="K40" s="8" t="n">
        <v>7.08982864816984</v>
      </c>
    </row>
    <row r="41" customFormat="false" ht="15" hidden="false" customHeight="false" outlineLevel="0" collapsed="false">
      <c r="A41" s="6" t="s">
        <v>92</v>
      </c>
      <c r="B41" s="6" t="s">
        <v>132</v>
      </c>
      <c r="C41" s="8" t="n">
        <v>0.482357161797794</v>
      </c>
      <c r="D41" s="8" t="n">
        <v>0.630322580645161</v>
      </c>
      <c r="E41" s="8" t="n">
        <v>0.893574453772416</v>
      </c>
      <c r="F41" s="8" t="n">
        <v>0.619122523490722</v>
      </c>
      <c r="G41" s="8" t="n">
        <v>0.45713501761232</v>
      </c>
      <c r="H41" s="8" t="n">
        <v>0.479141055660113</v>
      </c>
      <c r="I41" s="8" t="n">
        <v>0.482357161797794</v>
      </c>
      <c r="J41" s="8" t="n">
        <v>0.932140271856406</v>
      </c>
      <c r="K41" s="8" t="n">
        <v>9.21315622615558</v>
      </c>
    </row>
    <row r="42" customFormat="false" ht="15" hidden="false" customHeight="false" outlineLevel="0" collapsed="false">
      <c r="A42" s="6" t="s">
        <v>92</v>
      </c>
      <c r="B42" s="6" t="s">
        <v>133</v>
      </c>
      <c r="C42" s="8" t="n">
        <v>0.3990412636836</v>
      </c>
      <c r="D42" s="8" t="n">
        <v>0.558709677419355</v>
      </c>
      <c r="E42" s="8" t="n">
        <v>0.853860719735483</v>
      </c>
      <c r="F42" s="8" t="n">
        <v>0.543079105368751</v>
      </c>
      <c r="G42" s="8" t="n">
        <v>0.360424802207834</v>
      </c>
      <c r="H42" s="8" t="n">
        <v>0.407978709769133</v>
      </c>
      <c r="I42" s="8" t="n">
        <v>0.3990412636836</v>
      </c>
      <c r="J42" s="8" t="n">
        <v>0.921993552452596</v>
      </c>
      <c r="K42" s="8" t="n">
        <v>15.6433420146345</v>
      </c>
    </row>
    <row r="43" customFormat="false" ht="15" hidden="false" customHeight="false" outlineLevel="0" collapsed="false">
      <c r="A43" s="6" t="s">
        <v>92</v>
      </c>
      <c r="B43" s="6" t="s">
        <v>134</v>
      </c>
      <c r="C43" s="8" t="n">
        <v>0.13255310865605</v>
      </c>
      <c r="D43" s="8" t="n">
        <v>0.083010752688172</v>
      </c>
      <c r="E43" s="8" t="n">
        <v>0.504001598262893</v>
      </c>
      <c r="F43" s="8" t="n">
        <v>0.0210792440173928</v>
      </c>
      <c r="G43" s="8" t="n">
        <v>0.0309746804812042</v>
      </c>
      <c r="H43" s="8" t="n">
        <v>0.0176400876080921</v>
      </c>
      <c r="I43" s="8" t="n">
        <v>0.13255310865605</v>
      </c>
      <c r="J43" s="8" t="n">
        <v>0.875645856857496</v>
      </c>
      <c r="K43" s="8" t="n">
        <v>1117778.52094758</v>
      </c>
    </row>
    <row r="44" customFormat="false" ht="15" hidden="false" customHeight="false" outlineLevel="0" collapsed="false">
      <c r="A44" s="6" t="s">
        <v>92</v>
      </c>
      <c r="B44" s="6" t="s">
        <v>135</v>
      </c>
      <c r="C44" s="8" t="n">
        <v>0.125</v>
      </c>
      <c r="D44" s="8" t="n">
        <v>0.0118279569892473</v>
      </c>
      <c r="E44" s="8" t="n">
        <v>0.5</v>
      </c>
      <c r="F44" s="8" t="n">
        <v>0.000276530344063168</v>
      </c>
      <c r="G44" s="8" t="n">
        <v>0.00292242295430393</v>
      </c>
      <c r="H44" s="8" t="n">
        <v>0.00147849462365591</v>
      </c>
      <c r="I44" s="8" t="n">
        <v>0.125</v>
      </c>
      <c r="J44" s="8" t="n">
        <v>0.875</v>
      </c>
      <c r="K44" s="8" t="n">
        <v>10080871013.6017</v>
      </c>
    </row>
    <row r="45" customFormat="false" ht="15" hidden="false" customHeight="false" outlineLevel="0" collapsed="false">
      <c r="A45" s="6" t="s">
        <v>92</v>
      </c>
      <c r="B45" s="6" t="s">
        <v>136</v>
      </c>
      <c r="C45" s="8" t="n">
        <v>0.525368673499149</v>
      </c>
      <c r="D45" s="8" t="n">
        <v>0.547741935483871</v>
      </c>
      <c r="E45" s="8" t="n">
        <v>0.875734584814322</v>
      </c>
      <c r="F45" s="8" t="n">
        <v>0.576685158064359</v>
      </c>
      <c r="G45" s="8" t="n">
        <v>0.388837040614585</v>
      </c>
      <c r="H45" s="8" t="n">
        <v>0.396449639329704</v>
      </c>
      <c r="I45" s="8" t="n">
        <v>0.525368673499149</v>
      </c>
      <c r="J45" s="8" t="n">
        <v>0.928227177678451</v>
      </c>
      <c r="K45" s="8" t="n">
        <v>6.87515655635506</v>
      </c>
    </row>
    <row r="46" customFormat="false" ht="15" hidden="false" customHeight="false" outlineLevel="0" collapsed="false">
      <c r="A46" s="6" t="s">
        <v>92</v>
      </c>
      <c r="B46" s="6" t="s">
        <v>137</v>
      </c>
      <c r="C46" s="8" t="n">
        <v>0.562326270673332</v>
      </c>
      <c r="D46" s="8" t="n">
        <v>0.625161290322581</v>
      </c>
      <c r="E46" s="8" t="n">
        <v>0.906542940410038</v>
      </c>
      <c r="F46" s="8" t="n">
        <v>0.621449208665077</v>
      </c>
      <c r="G46" s="8" t="n">
        <v>0.464903322262908</v>
      </c>
      <c r="H46" s="8" t="n">
        <v>0.465840109859342</v>
      </c>
      <c r="I46" s="8" t="n">
        <v>0.562326270673332</v>
      </c>
      <c r="J46" s="8" t="n">
        <v>0.935353657319183</v>
      </c>
      <c r="K46" s="8" t="n">
        <v>8.0333544616289</v>
      </c>
    </row>
    <row r="47" customFormat="false" ht="15" hidden="false" customHeight="false" outlineLevel="0" collapsed="false">
      <c r="A47" s="6" t="s">
        <v>92</v>
      </c>
      <c r="B47" s="6" t="s">
        <v>138</v>
      </c>
      <c r="C47" s="8" t="n">
        <v>0.521806594128769</v>
      </c>
      <c r="D47" s="8" t="n">
        <v>0.599139784946237</v>
      </c>
      <c r="E47" s="8" t="n">
        <v>0.887663967944349</v>
      </c>
      <c r="F47" s="8" t="n">
        <v>0.599119860298073</v>
      </c>
      <c r="G47" s="8" t="n">
        <v>0.443882868183908</v>
      </c>
      <c r="H47" s="8" t="n">
        <v>0.466447034278797</v>
      </c>
      <c r="I47" s="8" t="n">
        <v>0.521806594128769</v>
      </c>
      <c r="J47" s="8" t="n">
        <v>0.928789515790308</v>
      </c>
      <c r="K47" s="8" t="n">
        <v>10.5961792223812</v>
      </c>
    </row>
    <row r="48" customFormat="false" ht="15" hidden="false" customHeight="false" outlineLevel="0" collapsed="false">
      <c r="A48" s="6" t="s">
        <v>92</v>
      </c>
      <c r="B48" s="6" t="s">
        <v>139</v>
      </c>
      <c r="C48" s="8" t="n">
        <v>0.176930086743978</v>
      </c>
      <c r="D48" s="8" t="n">
        <v>0.174838709677419</v>
      </c>
      <c r="E48" s="8" t="n">
        <v>0.565185140139043</v>
      </c>
      <c r="F48" s="8" t="n">
        <v>0.114788059751494</v>
      </c>
      <c r="G48" s="8" t="n">
        <v>0.0787609281745847</v>
      </c>
      <c r="H48" s="8" t="n">
        <v>0.21346234407144</v>
      </c>
      <c r="I48" s="8" t="n">
        <v>0.176930086743978</v>
      </c>
      <c r="J48" s="8" t="n">
        <v>0.879648374846073</v>
      </c>
      <c r="K48" s="8" t="n">
        <v>47.8713556808554</v>
      </c>
    </row>
    <row r="49" customFormat="false" ht="15" hidden="false" customHeight="false" outlineLevel="0" collapsed="false">
      <c r="A49" s="6" t="s">
        <v>92</v>
      </c>
      <c r="B49" s="6" t="s">
        <v>140</v>
      </c>
      <c r="C49" s="8" t="n">
        <v>0.125</v>
      </c>
      <c r="D49" s="8" t="n">
        <v>0.183440860215054</v>
      </c>
      <c r="E49" s="8" t="n">
        <v>0.5</v>
      </c>
      <c r="F49" s="8" t="n">
        <v>0.0568690000957445</v>
      </c>
      <c r="G49" s="8" t="n">
        <v>0.0387515900417954</v>
      </c>
      <c r="H49" s="8" t="n">
        <v>0.0229301075268817</v>
      </c>
      <c r="I49" s="8" t="n">
        <v>0.125</v>
      </c>
      <c r="J49" s="8" t="n">
        <v>0.875</v>
      </c>
      <c r="K49" s="8" t="n">
        <v>679082.578667675</v>
      </c>
    </row>
    <row r="50" customFormat="false" ht="15" hidden="false" customHeight="false" outlineLevel="0" collapsed="false">
      <c r="A50" s="6" t="s">
        <v>92</v>
      </c>
      <c r="B50" s="6" t="s">
        <v>141</v>
      </c>
      <c r="C50" s="8" t="n">
        <v>0.125</v>
      </c>
      <c r="D50" s="8" t="n">
        <v>0.0111827956989247</v>
      </c>
      <c r="E50" s="8" t="n">
        <v>0.5</v>
      </c>
      <c r="F50" s="8" t="n">
        <v>0.000247343843617221</v>
      </c>
      <c r="G50" s="8" t="n">
        <v>0.00276478094427903</v>
      </c>
      <c r="H50" s="8" t="n">
        <v>0.00139784946236559</v>
      </c>
      <c r="I50" s="8" t="n">
        <v>0.125</v>
      </c>
      <c r="J50" s="8" t="n">
        <v>0.875</v>
      </c>
      <c r="K50" s="8" t="n">
        <v>205805474537.868</v>
      </c>
    </row>
    <row r="51" customFormat="false" ht="15" hidden="false" customHeight="false" outlineLevel="0" collapsed="false">
      <c r="A51" s="6" t="s">
        <v>92</v>
      </c>
      <c r="B51" s="6" t="s">
        <v>142</v>
      </c>
      <c r="C51" s="8" t="n">
        <v>0.219186565829337</v>
      </c>
      <c r="D51" s="8" t="n">
        <v>0.470752688172043</v>
      </c>
      <c r="E51" s="8" t="n">
        <v>0.710432996217069</v>
      </c>
      <c r="F51" s="8" t="n">
        <v>0.41516390488554</v>
      </c>
      <c r="G51" s="8" t="n">
        <v>0.19420225560255</v>
      </c>
      <c r="H51" s="8" t="n">
        <v>0.346030954465287</v>
      </c>
      <c r="I51" s="8" t="n">
        <v>0.219186565829337</v>
      </c>
      <c r="J51" s="8" t="n">
        <v>0.902750316861667</v>
      </c>
      <c r="K51" s="8" t="n">
        <v>12.3451171875513</v>
      </c>
    </row>
    <row r="52" customFormat="false" ht="15" hidden="false" customHeight="false" outlineLevel="0" collapsed="false">
      <c r="A52" s="6" t="s">
        <v>92</v>
      </c>
      <c r="B52" s="6" t="s">
        <v>143</v>
      </c>
      <c r="C52" s="8" t="n">
        <v>0.440690527298231</v>
      </c>
      <c r="D52" s="8" t="n">
        <v>0.511397849462366</v>
      </c>
      <c r="E52" s="8" t="n">
        <v>0.860409545994357</v>
      </c>
      <c r="F52" s="8" t="n">
        <v>0.501330818489815</v>
      </c>
      <c r="G52" s="8" t="n">
        <v>0.30846715132749</v>
      </c>
      <c r="H52" s="8" t="n">
        <v>0.374541852461732</v>
      </c>
      <c r="I52" s="8" t="n">
        <v>0.440690527298231</v>
      </c>
      <c r="J52" s="8" t="n">
        <v>0.919002055184752</v>
      </c>
      <c r="K52" s="8" t="n">
        <v>11.2838545908979</v>
      </c>
    </row>
    <row r="53" customFormat="false" ht="15" hidden="false" customHeight="false" outlineLevel="0" collapsed="false">
      <c r="A53" s="6" t="s">
        <v>92</v>
      </c>
      <c r="B53" s="6" t="s">
        <v>144</v>
      </c>
      <c r="C53" s="8" t="n">
        <v>0.366010917934384</v>
      </c>
      <c r="D53" s="8" t="n">
        <v>0.373333333333333</v>
      </c>
      <c r="E53" s="8" t="n">
        <v>0.841218889733571</v>
      </c>
      <c r="F53" s="8" t="n">
        <v>0.38581891238347</v>
      </c>
      <c r="G53" s="8" t="n">
        <v>0.271804013860142</v>
      </c>
      <c r="H53" s="8" t="n">
        <v>0.343735622136827</v>
      </c>
      <c r="I53" s="8" t="n">
        <v>0.366010917934384</v>
      </c>
      <c r="J53" s="8" t="n">
        <v>0.90639074362475</v>
      </c>
      <c r="K53" s="8" t="n">
        <v>11.8784633298587</v>
      </c>
    </row>
    <row r="54" customFormat="false" ht="15" hidden="false" customHeight="false" outlineLevel="0" collapsed="false">
      <c r="A54" s="6" t="s">
        <v>92</v>
      </c>
      <c r="B54" s="6" t="s">
        <v>145</v>
      </c>
      <c r="C54" s="8" t="n">
        <v>0.125</v>
      </c>
      <c r="D54" s="8" t="n">
        <v>0.0111827956989247</v>
      </c>
      <c r="E54" s="8" t="n">
        <v>0.519032932847922</v>
      </c>
      <c r="F54" s="8" t="n">
        <v>0.000247343843617221</v>
      </c>
      <c r="G54" s="8" t="n">
        <v>0.00276478094427903</v>
      </c>
      <c r="H54" s="8" t="n">
        <v>0.00139784946236559</v>
      </c>
      <c r="I54" s="8" t="n">
        <v>0.125</v>
      </c>
      <c r="J54" s="8" t="n">
        <v>0.875</v>
      </c>
      <c r="K54" s="8" t="n">
        <v>1236.76125288112</v>
      </c>
    </row>
    <row r="55" customFormat="false" ht="15" hidden="false" customHeight="false" outlineLevel="0" collapsed="false">
      <c r="A55" s="6" t="s">
        <v>92</v>
      </c>
      <c r="B55" s="6" t="s">
        <v>146</v>
      </c>
      <c r="C55" s="8" t="n">
        <v>0.124967672171456</v>
      </c>
      <c r="D55" s="8" t="n">
        <v>0.480430107526882</v>
      </c>
      <c r="E55" s="8" t="n">
        <v>0.500072091126595</v>
      </c>
      <c r="F55" s="8" t="n">
        <v>0.314599458576528</v>
      </c>
      <c r="G55" s="8" t="n">
        <v>0.0823352851759165</v>
      </c>
      <c r="H55" s="8" t="n">
        <v>0.0680046074782917</v>
      </c>
      <c r="I55" s="8" t="n">
        <v>0.124967672171456</v>
      </c>
      <c r="J55" s="8" t="n">
        <v>0.87526557080137</v>
      </c>
      <c r="K55" s="8" t="n">
        <v>570226.074890793</v>
      </c>
    </row>
    <row r="56" customFormat="false" ht="15" hidden="false" customHeight="false" outlineLevel="0" collapsed="false">
      <c r="A56" s="6" t="s">
        <v>92</v>
      </c>
      <c r="B56" s="6" t="s">
        <v>147</v>
      </c>
      <c r="C56" s="8" t="n">
        <v>0.125</v>
      </c>
      <c r="D56" s="8" t="n">
        <v>0.183440860215054</v>
      </c>
      <c r="E56" s="8" t="n">
        <v>0.5</v>
      </c>
      <c r="F56" s="8" t="n">
        <v>0.0568690000957445</v>
      </c>
      <c r="G56" s="8" t="n">
        <v>0.0387515900417954</v>
      </c>
      <c r="H56" s="8" t="n">
        <v>0.0229301075268817</v>
      </c>
      <c r="I56" s="8" t="n">
        <v>0.125</v>
      </c>
      <c r="J56" s="8" t="n">
        <v>0.875</v>
      </c>
      <c r="K56" s="8" t="n">
        <v>2557391487377.67</v>
      </c>
    </row>
    <row r="57" customFormat="false" ht="15" hidden="false" customHeight="false" outlineLevel="0" collapsed="false">
      <c r="A57" s="6" t="s">
        <v>92</v>
      </c>
      <c r="B57" s="6" t="s">
        <v>148</v>
      </c>
      <c r="C57" s="8" t="n">
        <v>0.125</v>
      </c>
      <c r="D57" s="8" t="n">
        <v>0.482150537634409</v>
      </c>
      <c r="E57" s="8" t="n">
        <v>0.515363370527012</v>
      </c>
      <c r="F57" s="8" t="n">
        <v>0.313691673063362</v>
      </c>
      <c r="G57" s="8" t="n">
        <v>0.081326175275682</v>
      </c>
      <c r="H57" s="8" t="n">
        <v>0.0602688172043011</v>
      </c>
      <c r="I57" s="8" t="n">
        <v>0.125</v>
      </c>
      <c r="J57" s="8" t="n">
        <v>0.875</v>
      </c>
      <c r="K57" s="8" t="n">
        <v>18.3830464923254</v>
      </c>
    </row>
    <row r="58" customFormat="false" ht="15" hidden="false" customHeight="false" outlineLevel="0" collapsed="false">
      <c r="A58" s="6" t="s">
        <v>92</v>
      </c>
      <c r="B58" s="6" t="s">
        <v>149</v>
      </c>
      <c r="C58" s="8" t="n">
        <v>0.125</v>
      </c>
      <c r="D58" s="8" t="n">
        <v>0.0111827956989247</v>
      </c>
      <c r="E58" s="8" t="n">
        <v>0.559727430567421</v>
      </c>
      <c r="F58" s="8" t="n">
        <v>0.000247343843617221</v>
      </c>
      <c r="G58" s="8" t="n">
        <v>0.00276478094427903</v>
      </c>
      <c r="H58" s="8" t="n">
        <v>0.00139784946236559</v>
      </c>
      <c r="I58" s="8" t="n">
        <v>0.125</v>
      </c>
      <c r="J58" s="8" t="n">
        <v>0.875</v>
      </c>
      <c r="K58" s="8" t="n">
        <v>13.5623395786491</v>
      </c>
    </row>
    <row r="59" customFormat="false" ht="15" hidden="false" customHeight="false" outlineLevel="0" collapsed="false">
      <c r="A59" s="6" t="s">
        <v>92</v>
      </c>
      <c r="B59" s="6" t="s">
        <v>150</v>
      </c>
      <c r="C59" s="8" t="n">
        <v>0.136632189832562</v>
      </c>
      <c r="D59" s="8" t="n">
        <v>0.08</v>
      </c>
      <c r="E59" s="8" t="n">
        <v>0.593487196194961</v>
      </c>
      <c r="F59" s="8" t="n">
        <v>0.0931673851194707</v>
      </c>
      <c r="G59" s="8" t="n">
        <v>0.0360818384889392</v>
      </c>
      <c r="H59" s="8" t="n">
        <v>0.145017814185252</v>
      </c>
      <c r="I59" s="8" t="n">
        <v>0.136632189832562</v>
      </c>
      <c r="J59" s="8" t="n">
        <v>0.880304306617024</v>
      </c>
      <c r="K59" s="8" t="n">
        <v>28.2948175717426</v>
      </c>
    </row>
    <row r="60" customFormat="false" ht="15" hidden="false" customHeight="false" outlineLevel="0" collapsed="false">
      <c r="A60" s="6" t="s">
        <v>92</v>
      </c>
      <c r="B60" s="6" t="s">
        <v>151</v>
      </c>
      <c r="C60" s="8" t="n">
        <v>0.129923234737127</v>
      </c>
      <c r="D60" s="8" t="n">
        <v>0.0217204301075269</v>
      </c>
      <c r="E60" s="8" t="n">
        <v>0.541101526949436</v>
      </c>
      <c r="F60" s="8" t="n">
        <v>0.0176907082231502</v>
      </c>
      <c r="G60" s="8" t="n">
        <v>0.0147142039110628</v>
      </c>
      <c r="H60" s="8" t="n">
        <v>0.0328396194455423</v>
      </c>
      <c r="I60" s="8" t="n">
        <v>0.129923234737127</v>
      </c>
      <c r="J60" s="8" t="n">
        <v>0.875477037910975</v>
      </c>
      <c r="K60" s="8" t="n">
        <v>115.068896600047</v>
      </c>
    </row>
    <row r="61" customFormat="false" ht="15" hidden="false" customHeight="false" outlineLevel="0" collapsed="false">
      <c r="A61" s="6" t="s">
        <v>92</v>
      </c>
      <c r="B61" s="6" t="s">
        <v>152</v>
      </c>
      <c r="C61" s="8" t="n">
        <v>0.125</v>
      </c>
      <c r="D61" s="8" t="n">
        <v>0.0333333333333333</v>
      </c>
      <c r="E61" s="8" t="n">
        <v>0.5</v>
      </c>
      <c r="F61" s="8" t="n">
        <v>0.0021505376344086</v>
      </c>
      <c r="G61" s="8" t="n">
        <v>0.00806451612903226</v>
      </c>
      <c r="H61" s="8" t="n">
        <v>0.00416666666666667</v>
      </c>
      <c r="I61" s="8" t="n">
        <v>0.125</v>
      </c>
      <c r="J61" s="8" t="n">
        <v>0.875</v>
      </c>
      <c r="K61" s="8" t="n">
        <v>136268.870849294</v>
      </c>
    </row>
    <row r="62" customFormat="false" ht="15" hidden="false" customHeight="false" outlineLevel="0" collapsed="false">
      <c r="A62" s="6" t="s">
        <v>92</v>
      </c>
      <c r="B62" s="6" t="s">
        <v>153</v>
      </c>
      <c r="C62" s="8" t="n">
        <v>0.125</v>
      </c>
      <c r="D62" s="8" t="n">
        <v>0.482150537634409</v>
      </c>
      <c r="E62" s="8" t="n">
        <v>0.494214515230764</v>
      </c>
      <c r="F62" s="8" t="n">
        <v>0.313691673063362</v>
      </c>
      <c r="G62" s="8" t="n">
        <v>0.081326175275682</v>
      </c>
      <c r="H62" s="8" t="n">
        <v>0.0602688172043011</v>
      </c>
      <c r="I62" s="8" t="n">
        <v>0.125</v>
      </c>
      <c r="J62" s="8" t="n">
        <v>0.875</v>
      </c>
      <c r="K62" s="8" t="n">
        <v>24.2748396711068</v>
      </c>
    </row>
    <row r="63" customFormat="false" ht="15" hidden="false" customHeight="false" outlineLevel="0" collapsed="false">
      <c r="A63" s="6" t="s">
        <v>92</v>
      </c>
      <c r="B63" s="6" t="s">
        <v>154</v>
      </c>
      <c r="C63" s="8" t="n">
        <v>0.125</v>
      </c>
      <c r="D63" s="8" t="n">
        <v>0.482150537634409</v>
      </c>
      <c r="E63" s="8" t="n">
        <v>0.493458373900761</v>
      </c>
      <c r="F63" s="8" t="n">
        <v>0.313691673063362</v>
      </c>
      <c r="G63" s="8" t="n">
        <v>0.081326175275682</v>
      </c>
      <c r="H63" s="8" t="n">
        <v>0.0602688172043011</v>
      </c>
      <c r="I63" s="8" t="n">
        <v>0.125</v>
      </c>
      <c r="J63" s="8" t="n">
        <v>0.875</v>
      </c>
      <c r="K63" s="8" t="n">
        <v>49.3783619011592</v>
      </c>
    </row>
    <row r="64" customFormat="false" ht="15" hidden="false" customHeight="false" outlineLevel="0" collapsed="false">
      <c r="A64" s="6" t="s">
        <v>92</v>
      </c>
      <c r="B64" s="6" t="s">
        <v>155</v>
      </c>
      <c r="C64" s="8" t="n">
        <v>0.125</v>
      </c>
      <c r="D64" s="8" t="n">
        <v>0.482150537634409</v>
      </c>
      <c r="E64" s="8" t="n">
        <v>0.503883165267079</v>
      </c>
      <c r="F64" s="8" t="n">
        <v>0.313691673063362</v>
      </c>
      <c r="G64" s="8" t="n">
        <v>0.081326175275682</v>
      </c>
      <c r="H64" s="8" t="n">
        <v>0.0602688172043011</v>
      </c>
      <c r="I64" s="8" t="n">
        <v>0.125</v>
      </c>
      <c r="J64" s="8" t="n">
        <v>0.875</v>
      </c>
      <c r="K64" s="8" t="n">
        <v>115.515797840299</v>
      </c>
    </row>
    <row r="65" customFormat="false" ht="15" hidden="false" customHeight="false" outlineLevel="0" collapsed="false">
      <c r="A65" s="6" t="s">
        <v>92</v>
      </c>
      <c r="B65" s="6" t="s">
        <v>156</v>
      </c>
      <c r="C65" s="8" t="n">
        <v>0.125</v>
      </c>
      <c r="D65" s="8" t="n">
        <v>0.183440860215054</v>
      </c>
      <c r="E65" s="8" t="n">
        <v>0.448267408134156</v>
      </c>
      <c r="F65" s="8" t="n">
        <v>0.0568690000957445</v>
      </c>
      <c r="G65" s="8" t="n">
        <v>0.0387515900417954</v>
      </c>
      <c r="H65" s="8" t="n">
        <v>0.0229301075268817</v>
      </c>
      <c r="I65" s="8" t="n">
        <v>0.125</v>
      </c>
      <c r="J65" s="8" t="n">
        <v>0.875</v>
      </c>
      <c r="K65" s="8" t="n">
        <v>506.027117230815</v>
      </c>
    </row>
    <row r="66" customFormat="false" ht="15" hidden="false" customHeight="false" outlineLevel="0" collapsed="false">
      <c r="A66" s="6" t="s">
        <v>92</v>
      </c>
      <c r="B66" s="6" t="s">
        <v>157</v>
      </c>
      <c r="C66" s="8" t="n">
        <v>0.125</v>
      </c>
      <c r="D66" s="8" t="n">
        <v>0.10236559139785</v>
      </c>
      <c r="E66" s="8" t="n">
        <v>0.459686669391166</v>
      </c>
      <c r="F66" s="8" t="n">
        <v>0.0190113232560969</v>
      </c>
      <c r="G66" s="8" t="n">
        <v>0.0232149824424503</v>
      </c>
      <c r="H66" s="8" t="n">
        <v>0.0127956989247312</v>
      </c>
      <c r="I66" s="8" t="n">
        <v>0.125</v>
      </c>
      <c r="J66" s="8" t="n">
        <v>0.875</v>
      </c>
      <c r="K66" s="8" t="n">
        <v>2275.28685739825</v>
      </c>
    </row>
    <row r="67" customFormat="false" ht="15" hidden="false" customHeight="false" outlineLevel="0" collapsed="false">
      <c r="A67" s="6" t="s">
        <v>92</v>
      </c>
      <c r="B67" s="6" t="s">
        <v>158</v>
      </c>
      <c r="C67" s="8" t="n">
        <v>0.125</v>
      </c>
      <c r="D67" s="8" t="n">
        <v>0.183440860215054</v>
      </c>
      <c r="E67" s="8" t="n">
        <v>0.5</v>
      </c>
      <c r="F67" s="8" t="n">
        <v>0.0568690000957445</v>
      </c>
      <c r="G67" s="8" t="n">
        <v>0.0387515900417954</v>
      </c>
      <c r="H67" s="8" t="n">
        <v>0.0229301075268817</v>
      </c>
      <c r="I67" s="8" t="n">
        <v>0.125</v>
      </c>
      <c r="J67" s="8" t="n">
        <v>0.875</v>
      </c>
      <c r="K67" s="8" t="n">
        <v>105357942000020</v>
      </c>
    </row>
    <row r="68" customFormat="false" ht="15" hidden="false" customHeight="false" outlineLevel="0" collapsed="false">
      <c r="A68" s="6" t="s">
        <v>92</v>
      </c>
      <c r="B68" s="6" t="s">
        <v>159</v>
      </c>
      <c r="C68" s="8" t="n">
        <v>0.419586864089202</v>
      </c>
      <c r="D68" s="8" t="n">
        <v>0.48752688172043</v>
      </c>
      <c r="E68" s="8" t="n">
        <v>0.8193501847291</v>
      </c>
      <c r="F68" s="8" t="n">
        <v>0.520262592678449</v>
      </c>
      <c r="G68" s="8" t="n">
        <v>0.315035527890196</v>
      </c>
      <c r="H68" s="8" t="n">
        <v>0.322699371362737</v>
      </c>
      <c r="I68" s="8" t="n">
        <v>0.419586864089202</v>
      </c>
      <c r="J68" s="8" t="n">
        <v>0.921203398999307</v>
      </c>
      <c r="K68" s="8" t="n">
        <v>9.30549219010979</v>
      </c>
    </row>
    <row r="69" customFormat="false" ht="15" hidden="false" customHeight="false" outlineLevel="0" collapsed="false">
      <c r="A69" s="6" t="s">
        <v>92</v>
      </c>
      <c r="B69" s="6" t="s">
        <v>160</v>
      </c>
      <c r="C69" s="8" t="n">
        <v>0.488391654662442</v>
      </c>
      <c r="D69" s="8" t="n">
        <v>0.520215053763441</v>
      </c>
      <c r="E69" s="8" t="n">
        <v>0.861409915285385</v>
      </c>
      <c r="F69" s="8" t="n">
        <v>0.55180873974941</v>
      </c>
      <c r="G69" s="8" t="n">
        <v>0.357442384249208</v>
      </c>
      <c r="H69" s="8" t="n">
        <v>0.36188294858132</v>
      </c>
      <c r="I69" s="8" t="n">
        <v>0.488391654662442</v>
      </c>
      <c r="J69" s="8" t="n">
        <v>0.925878042008731</v>
      </c>
      <c r="K69" s="8" t="n">
        <v>8.13209657484485</v>
      </c>
    </row>
    <row r="70" customFormat="false" ht="15" hidden="false" customHeight="false" outlineLevel="0" collapsed="false">
      <c r="A70" s="6" t="s">
        <v>92</v>
      </c>
      <c r="B70" s="6" t="s">
        <v>161</v>
      </c>
      <c r="C70" s="8" t="n">
        <v>0.476299795332978</v>
      </c>
      <c r="D70" s="8" t="n">
        <v>0.596774193548387</v>
      </c>
      <c r="E70" s="8" t="n">
        <v>0.86987784509388</v>
      </c>
      <c r="F70" s="8" t="n">
        <v>0.587699227844909</v>
      </c>
      <c r="G70" s="8" t="n">
        <v>0.435388657505192</v>
      </c>
      <c r="H70" s="8" t="n">
        <v>0.4309305787285</v>
      </c>
      <c r="I70" s="8" t="n">
        <v>0.476299795332978</v>
      </c>
      <c r="J70" s="8" t="n">
        <v>0.926879214184274</v>
      </c>
      <c r="K70" s="8" t="n">
        <v>7.83389436733338</v>
      </c>
    </row>
    <row r="71" customFormat="false" ht="15" hidden="false" customHeight="false" outlineLevel="0" collapsed="false">
      <c r="A71" s="6" t="s">
        <v>92</v>
      </c>
      <c r="B71" s="6" t="s">
        <v>162</v>
      </c>
      <c r="C71" s="8" t="n">
        <v>0.445505045001207</v>
      </c>
      <c r="D71" s="8" t="n">
        <v>0.488602150537634</v>
      </c>
      <c r="E71" s="8" t="n">
        <v>0.8650629310311</v>
      </c>
      <c r="F71" s="8" t="n">
        <v>0.504725137107174</v>
      </c>
      <c r="G71" s="8" t="n">
        <v>0.40865004089356</v>
      </c>
      <c r="H71" s="8" t="n">
        <v>0.470742071436692</v>
      </c>
      <c r="I71" s="8" t="n">
        <v>0.445505045001207</v>
      </c>
      <c r="J71" s="8" t="n">
        <v>0.918123999866673</v>
      </c>
      <c r="K71" s="8" t="n">
        <v>12.3611604044258</v>
      </c>
    </row>
    <row r="72" customFormat="false" ht="15" hidden="false" customHeight="false" outlineLevel="0" collapsed="false">
      <c r="A72" s="6" t="s">
        <v>92</v>
      </c>
      <c r="B72" s="6" t="s">
        <v>163</v>
      </c>
      <c r="C72" s="8" t="n">
        <v>0.125</v>
      </c>
      <c r="D72" s="8" t="n">
        <v>0.0111827956989247</v>
      </c>
      <c r="E72" s="8" t="n">
        <v>0.5</v>
      </c>
      <c r="F72" s="8" t="n">
        <v>0.000247343843617221</v>
      </c>
      <c r="G72" s="8" t="n">
        <v>0.00276478094427903</v>
      </c>
      <c r="H72" s="8" t="n">
        <v>0.00139784946236559</v>
      </c>
      <c r="I72" s="8" t="n">
        <v>0.125</v>
      </c>
      <c r="J72" s="8" t="n">
        <v>0.875</v>
      </c>
      <c r="K72" s="8" t="n">
        <v>327073.043671035</v>
      </c>
    </row>
    <row r="73" customFormat="false" ht="15" hidden="false" customHeight="false" outlineLevel="0" collapsed="false">
      <c r="A73" s="6" t="s">
        <v>92</v>
      </c>
      <c r="B73" s="6" t="s">
        <v>164</v>
      </c>
      <c r="C73" s="8" t="n">
        <v>0.125</v>
      </c>
      <c r="D73" s="8" t="n">
        <v>0.0118279569892473</v>
      </c>
      <c r="E73" s="8" t="n">
        <v>0.5</v>
      </c>
      <c r="F73" s="8" t="n">
        <v>0.000276530344063168</v>
      </c>
      <c r="G73" s="8" t="n">
        <v>0.00292242295430393</v>
      </c>
      <c r="H73" s="8" t="n">
        <v>0.00147849462365591</v>
      </c>
      <c r="I73" s="8" t="n">
        <v>0.125</v>
      </c>
      <c r="J73" s="8" t="n">
        <v>0.875</v>
      </c>
      <c r="K73" s="8" t="n">
        <v>17140238.2743347</v>
      </c>
    </row>
    <row r="74" customFormat="false" ht="15" hidden="false" customHeight="false" outlineLevel="0" collapsed="false">
      <c r="A74" s="6" t="s">
        <v>92</v>
      </c>
      <c r="B74" s="6" t="s">
        <v>165</v>
      </c>
      <c r="C74" s="8" t="n">
        <v>0.46407069519941</v>
      </c>
      <c r="D74" s="8" t="n">
        <v>0.547096774193548</v>
      </c>
      <c r="E74" s="8" t="n">
        <v>0.858375515577161</v>
      </c>
      <c r="F74" s="8" t="n">
        <v>0.565297688818474</v>
      </c>
      <c r="G74" s="8" t="n">
        <v>0.359565955102259</v>
      </c>
      <c r="H74" s="8" t="n">
        <v>0.376029681804371</v>
      </c>
      <c r="I74" s="8" t="n">
        <v>0.46407069519941</v>
      </c>
      <c r="J74" s="8" t="n">
        <v>0.92617066744987</v>
      </c>
      <c r="K74" s="8" t="n">
        <v>7.84878148163519</v>
      </c>
    </row>
    <row r="75" customFormat="false" ht="15" hidden="false" customHeight="false" outlineLevel="0" collapsed="false">
      <c r="A75" s="6" t="s">
        <v>92</v>
      </c>
      <c r="B75" s="6" t="s">
        <v>166</v>
      </c>
      <c r="C75" s="8" t="n">
        <v>0.579206731879326</v>
      </c>
      <c r="D75" s="8" t="n">
        <v>0.591182795698925</v>
      </c>
      <c r="E75" s="8" t="n">
        <v>0.892111105097025</v>
      </c>
      <c r="F75" s="8" t="n">
        <v>0.603803546790996</v>
      </c>
      <c r="G75" s="8" t="n">
        <v>0.4341329404428</v>
      </c>
      <c r="H75" s="8" t="n">
        <v>0.422254426930341</v>
      </c>
      <c r="I75" s="8" t="n">
        <v>0.579206731879326</v>
      </c>
      <c r="J75" s="8" t="n">
        <v>0.934176305843983</v>
      </c>
      <c r="K75" s="8" t="n">
        <v>7.08699729411833</v>
      </c>
    </row>
    <row r="76" customFormat="false" ht="15" hidden="false" customHeight="false" outlineLevel="0" collapsed="false">
      <c r="A76" s="6" t="s">
        <v>92</v>
      </c>
      <c r="B76" s="6" t="s">
        <v>167</v>
      </c>
      <c r="C76" s="8" t="n">
        <v>0.470235104362027</v>
      </c>
      <c r="D76" s="8" t="n">
        <v>0.591827956989247</v>
      </c>
      <c r="E76" s="8" t="n">
        <v>0.881706794463555</v>
      </c>
      <c r="F76" s="8" t="n">
        <v>0.582478583278218</v>
      </c>
      <c r="G76" s="8" t="n">
        <v>0.409472148278179</v>
      </c>
      <c r="H76" s="8" t="n">
        <v>0.469156593096029</v>
      </c>
      <c r="I76" s="8" t="n">
        <v>0.470235104362027</v>
      </c>
      <c r="J76" s="8" t="n">
        <v>0.924472396067381</v>
      </c>
      <c r="K76" s="8" t="n">
        <v>10.0948962719979</v>
      </c>
    </row>
    <row r="77" customFormat="false" ht="15" hidden="false" customHeight="false" outlineLevel="0" collapsed="false">
      <c r="A77" s="6" t="s">
        <v>92</v>
      </c>
      <c r="B77" s="6" t="s">
        <v>168</v>
      </c>
      <c r="C77" s="8" t="n">
        <v>0.333451727892622</v>
      </c>
      <c r="D77" s="8" t="n">
        <v>0.36258064516129</v>
      </c>
      <c r="E77" s="8" t="n">
        <v>0.838065222986168</v>
      </c>
      <c r="F77" s="8" t="n">
        <v>0.375877700872993</v>
      </c>
      <c r="G77" s="8" t="n">
        <v>0.306844392684256</v>
      </c>
      <c r="H77" s="8" t="n">
        <v>0.450419902761447</v>
      </c>
      <c r="I77" s="8" t="n">
        <v>0.333451727892622</v>
      </c>
      <c r="J77" s="8" t="n">
        <v>0.903106926748755</v>
      </c>
      <c r="K77" s="8" t="n">
        <v>22.2015087028985</v>
      </c>
    </row>
    <row r="78" customFormat="false" ht="15" hidden="false" customHeight="false" outlineLevel="0" collapsed="false">
      <c r="A78" s="6" t="s">
        <v>92</v>
      </c>
      <c r="B78" s="6" t="s">
        <v>169</v>
      </c>
      <c r="C78" s="8" t="n">
        <v>0.125</v>
      </c>
      <c r="D78" s="8" t="n">
        <v>0.183440860215054</v>
      </c>
      <c r="E78" s="8" t="n">
        <v>0.5</v>
      </c>
      <c r="F78" s="8" t="n">
        <v>0.0568690000957445</v>
      </c>
      <c r="G78" s="8" t="n">
        <v>0.0387515900417954</v>
      </c>
      <c r="H78" s="8" t="n">
        <v>0.0229301075268817</v>
      </c>
      <c r="I78" s="8" t="n">
        <v>0.125</v>
      </c>
      <c r="J78" s="8" t="n">
        <v>0.875</v>
      </c>
      <c r="K78" s="8" t="n">
        <v>757547.060023522</v>
      </c>
    </row>
    <row r="79" customFormat="false" ht="15" hidden="false" customHeight="false" outlineLevel="0" collapsed="false">
      <c r="A79" s="6" t="s">
        <v>92</v>
      </c>
      <c r="B79" s="6" t="s">
        <v>170</v>
      </c>
      <c r="C79" s="8" t="n">
        <v>0.125</v>
      </c>
      <c r="D79" s="8" t="n">
        <v>0.10236559139785</v>
      </c>
      <c r="E79" s="8" t="n">
        <v>0.5</v>
      </c>
      <c r="F79" s="8" t="n">
        <v>0.0190113232560969</v>
      </c>
      <c r="G79" s="8" t="n">
        <v>0.0232149824424503</v>
      </c>
      <c r="H79" s="8" t="n">
        <v>0.0127956989247312</v>
      </c>
      <c r="I79" s="8" t="n">
        <v>0.125</v>
      </c>
      <c r="J79" s="8" t="n">
        <v>0.875</v>
      </c>
      <c r="K79" s="8" t="n">
        <v>40454680.507957</v>
      </c>
    </row>
    <row r="80" customFormat="false" ht="15" hidden="false" customHeight="false" outlineLevel="0" collapsed="false">
      <c r="A80" s="6" t="s">
        <v>92</v>
      </c>
      <c r="B80" s="6" t="s">
        <v>171</v>
      </c>
      <c r="C80" s="8" t="n">
        <v>0.51572488944992</v>
      </c>
      <c r="D80" s="8" t="n">
        <v>0.568172043010753</v>
      </c>
      <c r="E80" s="8" t="n">
        <v>0.880865159642079</v>
      </c>
      <c r="F80" s="8" t="n">
        <v>0.581980035948984</v>
      </c>
      <c r="G80" s="8" t="n">
        <v>0.398916652862196</v>
      </c>
      <c r="H80" s="8" t="n">
        <v>0.418748279280498</v>
      </c>
      <c r="I80" s="8" t="n">
        <v>0.51572488944992</v>
      </c>
      <c r="J80" s="8" t="n">
        <v>0.927016920325311</v>
      </c>
      <c r="K80" s="8" t="n">
        <v>7.10060587067758</v>
      </c>
    </row>
    <row r="81" customFormat="false" ht="15" hidden="false" customHeight="false" outlineLevel="0" collapsed="false">
      <c r="A81" s="6" t="s">
        <v>92</v>
      </c>
      <c r="B81" s="6" t="s">
        <v>172</v>
      </c>
      <c r="C81" s="8" t="n">
        <v>0.593162793731677</v>
      </c>
      <c r="D81" s="8" t="n">
        <v>0.61247311827957</v>
      </c>
      <c r="E81" s="8" t="n">
        <v>0.909896826273301</v>
      </c>
      <c r="F81" s="8" t="n">
        <v>0.618921697049412</v>
      </c>
      <c r="G81" s="8" t="n">
        <v>0.445864824681254</v>
      </c>
      <c r="H81" s="8" t="n">
        <v>0.449351075969903</v>
      </c>
      <c r="I81" s="8" t="n">
        <v>0.593162793731677</v>
      </c>
      <c r="J81" s="8" t="n">
        <v>0.936682018290599</v>
      </c>
      <c r="K81" s="8" t="n">
        <v>6.94484423034935</v>
      </c>
    </row>
    <row r="82" customFormat="false" ht="15" hidden="false" customHeight="false" outlineLevel="0" collapsed="false">
      <c r="A82" s="6" t="s">
        <v>92</v>
      </c>
      <c r="B82" s="6" t="s">
        <v>173</v>
      </c>
      <c r="C82" s="8" t="n">
        <v>0.510386232946026</v>
      </c>
      <c r="D82" s="8" t="n">
        <v>0.58494623655914</v>
      </c>
      <c r="E82" s="8" t="n">
        <v>0.890208362735282</v>
      </c>
      <c r="F82" s="8" t="n">
        <v>0.588040312572212</v>
      </c>
      <c r="G82" s="8" t="n">
        <v>0.456530085643196</v>
      </c>
      <c r="H82" s="8" t="n">
        <v>0.469462562776641</v>
      </c>
      <c r="I82" s="8" t="n">
        <v>0.510386232946026</v>
      </c>
      <c r="J82" s="8" t="n">
        <v>0.930927080641888</v>
      </c>
      <c r="K82" s="8" t="n">
        <v>9.52295276775155</v>
      </c>
    </row>
    <row r="83" customFormat="false" ht="15" hidden="false" customHeight="false" outlineLevel="0" collapsed="false">
      <c r="A83" s="6" t="s">
        <v>92</v>
      </c>
      <c r="B83" s="6" t="s">
        <v>174</v>
      </c>
      <c r="C83" s="8" t="n">
        <v>0.210825186813747</v>
      </c>
      <c r="D83" s="8" t="n">
        <v>0.318064516129032</v>
      </c>
      <c r="E83" s="8" t="n">
        <v>0.74922645871355</v>
      </c>
      <c r="F83" s="8" t="n">
        <v>0.328395452271913</v>
      </c>
      <c r="G83" s="8" t="n">
        <v>0.167687673561623</v>
      </c>
      <c r="H83" s="8" t="n">
        <v>0.391007081104059</v>
      </c>
      <c r="I83" s="8" t="n">
        <v>0.210825186813747</v>
      </c>
      <c r="J83" s="8" t="n">
        <v>0.898550906810163</v>
      </c>
      <c r="K83" s="8" t="n">
        <v>47.8506687159179</v>
      </c>
    </row>
    <row r="84" customFormat="false" ht="15" hidden="false" customHeight="false" outlineLevel="0" collapsed="false">
      <c r="A84" s="6" t="s">
        <v>92</v>
      </c>
      <c r="B84" s="6" t="s">
        <v>175</v>
      </c>
      <c r="C84" s="8" t="n">
        <v>0.125</v>
      </c>
      <c r="D84" s="8" t="n">
        <v>0.183440860215054</v>
      </c>
      <c r="E84" s="8" t="n">
        <v>0.5</v>
      </c>
      <c r="F84" s="8" t="n">
        <v>0.0568690000957445</v>
      </c>
      <c r="G84" s="8" t="n">
        <v>0.0387515900417954</v>
      </c>
      <c r="H84" s="8" t="n">
        <v>0.0229301075268817</v>
      </c>
      <c r="I84" s="8" t="n">
        <v>0.125</v>
      </c>
      <c r="J84" s="8" t="n">
        <v>0.875</v>
      </c>
      <c r="K84" s="8" t="n">
        <v>282048.59749496</v>
      </c>
    </row>
    <row r="85" customFormat="false" ht="15" hidden="false" customHeight="false" outlineLevel="0" collapsed="false">
      <c r="A85" s="6" t="s">
        <v>92</v>
      </c>
      <c r="B85" s="6" t="s">
        <v>176</v>
      </c>
      <c r="C85" s="8" t="n">
        <v>0.125</v>
      </c>
      <c r="D85" s="8" t="n">
        <v>0.0111827956989247</v>
      </c>
      <c r="E85" s="8" t="n">
        <v>0.5</v>
      </c>
      <c r="F85" s="8" t="n">
        <v>0.000247343843617221</v>
      </c>
      <c r="G85" s="8" t="n">
        <v>0.00276478094427903</v>
      </c>
      <c r="H85" s="8" t="n">
        <v>0.00139784946236559</v>
      </c>
      <c r="I85" s="8" t="n">
        <v>0.125</v>
      </c>
      <c r="J85" s="8" t="n">
        <v>0.875</v>
      </c>
      <c r="K85" s="8" t="n">
        <v>103534824433.466</v>
      </c>
    </row>
    <row r="86" customFormat="false" ht="15" hidden="false" customHeight="false" outlineLevel="0" collapsed="false">
      <c r="A86" s="6" t="s">
        <v>92</v>
      </c>
      <c r="B86" s="6" t="s">
        <v>177</v>
      </c>
      <c r="C86" s="8" t="n">
        <v>0.227912610567436</v>
      </c>
      <c r="D86" s="8" t="n">
        <v>0.200430107526882</v>
      </c>
      <c r="E86" s="8" t="n">
        <v>0.669626685877664</v>
      </c>
      <c r="F86" s="8" t="n">
        <v>0.204434021129289</v>
      </c>
      <c r="G86" s="8" t="n">
        <v>0.130251840180809</v>
      </c>
      <c r="H86" s="8" t="n">
        <v>0.259476173173953</v>
      </c>
      <c r="I86" s="8" t="n">
        <v>0.227912610567436</v>
      </c>
      <c r="J86" s="8" t="n">
        <v>0.888866457070518</v>
      </c>
      <c r="K86" s="8" t="n">
        <v>12.4980129939254</v>
      </c>
    </row>
    <row r="87" customFormat="false" ht="15" hidden="false" customHeight="false" outlineLevel="0" collapsed="false">
      <c r="A87" s="6" t="s">
        <v>92</v>
      </c>
      <c r="B87" s="6" t="s">
        <v>178</v>
      </c>
      <c r="C87" s="8" t="n">
        <v>0.448665935473865</v>
      </c>
      <c r="D87" s="8" t="n">
        <v>0.494623655913979</v>
      </c>
      <c r="E87" s="8" t="n">
        <v>0.856870985757844</v>
      </c>
      <c r="F87" s="8" t="n">
        <v>0.5198223604103</v>
      </c>
      <c r="G87" s="8" t="n">
        <v>0.328582585318564</v>
      </c>
      <c r="H87" s="8" t="n">
        <v>0.399321754502054</v>
      </c>
      <c r="I87" s="8" t="n">
        <v>0.448665935473865</v>
      </c>
      <c r="J87" s="8" t="n">
        <v>0.916945475991756</v>
      </c>
      <c r="K87" s="8" t="n">
        <v>11.1325262274537</v>
      </c>
    </row>
    <row r="88" customFormat="false" ht="15" hidden="false" customHeight="false" outlineLevel="0" collapsed="false">
      <c r="A88" s="6" t="s">
        <v>92</v>
      </c>
      <c r="B88" s="6" t="s">
        <v>179</v>
      </c>
      <c r="C88" s="8" t="n">
        <v>0.342152429931281</v>
      </c>
      <c r="D88" s="8" t="n">
        <v>0.24</v>
      </c>
      <c r="E88" s="8" t="n">
        <v>0.777219994262645</v>
      </c>
      <c r="F88" s="8" t="n">
        <v>0.186702846107069</v>
      </c>
      <c r="G88" s="8" t="n">
        <v>0.183543692499649</v>
      </c>
      <c r="H88" s="8" t="n">
        <v>0.267084180235959</v>
      </c>
      <c r="I88" s="8" t="n">
        <v>0.342152429931281</v>
      </c>
      <c r="J88" s="8" t="n">
        <v>0.891318976276858</v>
      </c>
      <c r="K88" s="8" t="n">
        <v>12.9300166270553</v>
      </c>
    </row>
    <row r="89" customFormat="false" ht="15" hidden="false" customHeight="false" outlineLevel="0" collapsed="false">
      <c r="A89" s="6" t="s">
        <v>92</v>
      </c>
      <c r="B89" s="6" t="s">
        <v>180</v>
      </c>
      <c r="C89" s="8" t="n">
        <v>0.127021886382037</v>
      </c>
      <c r="D89" s="8" t="n">
        <v>0.207096774193548</v>
      </c>
      <c r="E89" s="8" t="n">
        <v>0.558331266855726</v>
      </c>
      <c r="F89" s="8" t="n">
        <v>0.133885225235149</v>
      </c>
      <c r="G89" s="8" t="n">
        <v>0.0651406411739508</v>
      </c>
      <c r="H89" s="8" t="n">
        <v>0.113204609724334</v>
      </c>
      <c r="I89" s="8" t="n">
        <v>0.127021886382037</v>
      </c>
      <c r="J89" s="8" t="n">
        <v>0.877393518439865</v>
      </c>
      <c r="K89" s="8" t="n">
        <v>321.331415278937</v>
      </c>
    </row>
    <row r="90" customFormat="false" ht="15" hidden="false" customHeight="false" outlineLevel="0" collapsed="false">
      <c r="A90" s="6" t="s">
        <v>92</v>
      </c>
      <c r="B90" s="6" t="s">
        <v>181</v>
      </c>
      <c r="C90" s="8" t="n">
        <v>0.125</v>
      </c>
      <c r="D90" s="8" t="n">
        <v>0.0111827956989247</v>
      </c>
      <c r="E90" s="8" t="n">
        <v>0.49989280242556</v>
      </c>
      <c r="F90" s="8" t="n">
        <v>0.000247343843617221</v>
      </c>
      <c r="G90" s="8" t="n">
        <v>0.00276478094427903</v>
      </c>
      <c r="H90" s="8" t="n">
        <v>0.00139784946236559</v>
      </c>
      <c r="I90" s="8" t="n">
        <v>0.125</v>
      </c>
      <c r="J90" s="8" t="n">
        <v>0.875</v>
      </c>
      <c r="K90" s="8" t="n">
        <v>18083.472999727</v>
      </c>
    </row>
    <row r="91" customFormat="false" ht="15" hidden="false" customHeight="false" outlineLevel="0" collapsed="false">
      <c r="A91" s="6" t="s">
        <v>92</v>
      </c>
      <c r="B91" s="6" t="s">
        <v>182</v>
      </c>
      <c r="C91" s="8" t="n">
        <v>0.138592657342657</v>
      </c>
      <c r="D91" s="8" t="n">
        <v>0.0129032258064516</v>
      </c>
      <c r="E91" s="8" t="n">
        <v>0.506880178464563</v>
      </c>
      <c r="F91" s="8" t="n">
        <v>0.000555475861794724</v>
      </c>
      <c r="G91" s="8" t="n">
        <v>0.0059954066785801</v>
      </c>
      <c r="H91" s="8" t="n">
        <v>0.00306653460886157</v>
      </c>
      <c r="I91" s="8" t="n">
        <v>0.138592657342657</v>
      </c>
      <c r="J91" s="8" t="n">
        <v>0.875167699586469</v>
      </c>
      <c r="K91" s="8" t="n">
        <v>18517833320.3819</v>
      </c>
    </row>
    <row r="92" customFormat="false" ht="15" hidden="false" customHeight="false" outlineLevel="0" collapsed="false">
      <c r="A92" s="6" t="s">
        <v>92</v>
      </c>
      <c r="B92" s="6" t="s">
        <v>183</v>
      </c>
      <c r="C92" s="8" t="n">
        <v>0.125</v>
      </c>
      <c r="D92" s="8" t="n">
        <v>0.482150537634409</v>
      </c>
      <c r="E92" s="8" t="n">
        <v>0.532693388656071</v>
      </c>
      <c r="F92" s="8" t="n">
        <v>0.313691673063362</v>
      </c>
      <c r="G92" s="8" t="n">
        <v>0.081326175275682</v>
      </c>
      <c r="H92" s="8" t="n">
        <v>0.0602688172043011</v>
      </c>
      <c r="I92" s="8" t="n">
        <v>0.125</v>
      </c>
      <c r="J92" s="8" t="n">
        <v>0.875</v>
      </c>
      <c r="K92" s="8" t="n">
        <v>13.4932471010762</v>
      </c>
    </row>
    <row r="93" customFormat="false" ht="15" hidden="false" customHeight="false" outlineLevel="0" collapsed="false">
      <c r="A93" s="6" t="s">
        <v>92</v>
      </c>
      <c r="B93" s="6" t="s">
        <v>184</v>
      </c>
      <c r="C93" s="8" t="n">
        <v>0.125</v>
      </c>
      <c r="D93" s="8" t="n">
        <v>0.0118279569892473</v>
      </c>
      <c r="E93" s="8" t="n">
        <v>0.520138694585229</v>
      </c>
      <c r="F93" s="8" t="n">
        <v>0.000276530344063168</v>
      </c>
      <c r="G93" s="8" t="n">
        <v>0.00292242295430393</v>
      </c>
      <c r="H93" s="8" t="n">
        <v>0.00147849462365591</v>
      </c>
      <c r="I93" s="8" t="n">
        <v>0.125</v>
      </c>
      <c r="J93" s="8" t="n">
        <v>0.875</v>
      </c>
      <c r="K93" s="8" t="n">
        <v>14.0863483495097</v>
      </c>
    </row>
    <row r="94" customFormat="false" ht="15" hidden="false" customHeight="false" outlineLevel="0" collapsed="false">
      <c r="A94" s="6" t="s">
        <v>92</v>
      </c>
      <c r="B94" s="6" t="s">
        <v>185</v>
      </c>
      <c r="C94" s="8" t="n">
        <v>0.125</v>
      </c>
      <c r="D94" s="8" t="n">
        <v>0.0111827956989247</v>
      </c>
      <c r="E94" s="8" t="n">
        <v>0.488768526457416</v>
      </c>
      <c r="F94" s="8" t="n">
        <v>0.000247343843617221</v>
      </c>
      <c r="G94" s="8" t="n">
        <v>0.00276478094427903</v>
      </c>
      <c r="H94" s="8" t="n">
        <v>0.00139784946236559</v>
      </c>
      <c r="I94" s="8" t="n">
        <v>0.125</v>
      </c>
      <c r="J94" s="8" t="n">
        <v>0.875</v>
      </c>
      <c r="K94" s="8" t="n">
        <v>1313.28216226557</v>
      </c>
    </row>
    <row r="95" customFormat="false" ht="15" hidden="false" customHeight="false" outlineLevel="0" collapsed="false">
      <c r="A95" s="6" t="s">
        <v>92</v>
      </c>
      <c r="B95" s="6" t="s">
        <v>186</v>
      </c>
      <c r="C95" s="8" t="n">
        <v>0.125</v>
      </c>
      <c r="D95" s="8" t="n">
        <v>0.0111827956989247</v>
      </c>
      <c r="E95" s="8" t="n">
        <v>0.497268593910969</v>
      </c>
      <c r="F95" s="8" t="n">
        <v>0.000247343843617221</v>
      </c>
      <c r="G95" s="8" t="n">
        <v>0.00276478094427903</v>
      </c>
      <c r="H95" s="8" t="n">
        <v>0.00139784946236559</v>
      </c>
      <c r="I95" s="8" t="n">
        <v>0.125</v>
      </c>
      <c r="J95" s="8" t="n">
        <v>0.875</v>
      </c>
      <c r="K95" s="8" t="n">
        <v>3462.99042899183</v>
      </c>
    </row>
    <row r="96" customFormat="false" ht="15" hidden="false" customHeight="false" outlineLevel="0" collapsed="false">
      <c r="A96" s="6" t="s">
        <v>92</v>
      </c>
      <c r="B96" s="6" t="s">
        <v>187</v>
      </c>
      <c r="C96" s="8" t="n">
        <v>0.125</v>
      </c>
      <c r="D96" s="8" t="n">
        <v>0.10236559139785</v>
      </c>
      <c r="E96" s="8" t="n">
        <v>0.499399281105568</v>
      </c>
      <c r="F96" s="8" t="n">
        <v>0.0190113232560969</v>
      </c>
      <c r="G96" s="8" t="n">
        <v>0.0232149824424503</v>
      </c>
      <c r="H96" s="8" t="n">
        <v>0.0127956989247312</v>
      </c>
      <c r="I96" s="8" t="n">
        <v>0.125</v>
      </c>
      <c r="J96" s="8" t="n">
        <v>0.875</v>
      </c>
      <c r="K96" s="8" t="n">
        <v>187181.057589046</v>
      </c>
    </row>
    <row r="97" customFormat="false" ht="15" hidden="false" customHeight="false" outlineLevel="0" collapsed="false">
      <c r="A97" s="6" t="s">
        <v>92</v>
      </c>
      <c r="B97" s="6" t="s">
        <v>188</v>
      </c>
      <c r="C97" s="8" t="n">
        <v>0.125</v>
      </c>
      <c r="D97" s="8" t="n">
        <v>0.0333333333333333</v>
      </c>
      <c r="E97" s="8" t="n">
        <v>0.5</v>
      </c>
      <c r="F97" s="8" t="n">
        <v>0.0021505376344086</v>
      </c>
      <c r="G97" s="8" t="n">
        <v>0.00806451612903226</v>
      </c>
      <c r="H97" s="8" t="n">
        <v>0.00416666666666667</v>
      </c>
      <c r="I97" s="8" t="n">
        <v>0.125</v>
      </c>
      <c r="J97" s="8" t="n">
        <v>0.875</v>
      </c>
      <c r="K97" s="8" t="n">
        <v>1316405176241.6</v>
      </c>
    </row>
    <row r="98" customFormat="false" ht="15" hidden="false" customHeight="false" outlineLevel="0" collapsed="false">
      <c r="A98" s="6" t="s">
        <v>92</v>
      </c>
      <c r="B98" s="6" t="s">
        <v>189</v>
      </c>
      <c r="C98" s="8" t="n">
        <v>0.125</v>
      </c>
      <c r="D98" s="8" t="n">
        <v>0.10236559139785</v>
      </c>
      <c r="E98" s="8" t="n">
        <v>0.500161706778319</v>
      </c>
      <c r="F98" s="8" t="n">
        <v>0.0190113232560969</v>
      </c>
      <c r="G98" s="8" t="n">
        <v>0.0232149824424503</v>
      </c>
      <c r="H98" s="8" t="n">
        <v>0.0127956989247312</v>
      </c>
      <c r="I98" s="8" t="n">
        <v>0.125</v>
      </c>
      <c r="J98" s="8" t="n">
        <v>0.875</v>
      </c>
      <c r="K98" s="8" t="n">
        <v>16.9903154672602</v>
      </c>
    </row>
    <row r="99" customFormat="false" ht="15" hidden="false" customHeight="false" outlineLevel="0" collapsed="false">
      <c r="A99" s="6" t="s">
        <v>92</v>
      </c>
      <c r="B99" s="6" t="s">
        <v>190</v>
      </c>
      <c r="C99" s="8" t="n">
        <v>0.125</v>
      </c>
      <c r="D99" s="8" t="n">
        <v>0.482150537634409</v>
      </c>
      <c r="E99" s="8" t="n">
        <v>0.495261319705316</v>
      </c>
      <c r="F99" s="8" t="n">
        <v>0.313691673063362</v>
      </c>
      <c r="G99" s="8" t="n">
        <v>0.081326175275682</v>
      </c>
      <c r="H99" s="8" t="n">
        <v>0.0602688172043011</v>
      </c>
      <c r="I99" s="8" t="n">
        <v>0.125</v>
      </c>
      <c r="J99" s="8" t="n">
        <v>0.875</v>
      </c>
      <c r="K99" s="8" t="n">
        <v>42.9767195554902</v>
      </c>
    </row>
    <row r="100" customFormat="false" ht="15" hidden="false" customHeight="false" outlineLevel="0" collapsed="false">
      <c r="A100" s="6" t="s">
        <v>92</v>
      </c>
      <c r="B100" s="6" t="s">
        <v>191</v>
      </c>
      <c r="C100" s="8" t="n">
        <v>0.125</v>
      </c>
      <c r="D100" s="8" t="n">
        <v>0.0118279569892473</v>
      </c>
      <c r="E100" s="8" t="n">
        <v>0.485496220404818</v>
      </c>
      <c r="F100" s="8" t="n">
        <v>0.000276530344063168</v>
      </c>
      <c r="G100" s="8" t="n">
        <v>0.00292242295430393</v>
      </c>
      <c r="H100" s="8" t="n">
        <v>0.00147849462365591</v>
      </c>
      <c r="I100" s="8" t="n">
        <v>0.125</v>
      </c>
      <c r="J100" s="8" t="n">
        <v>0.875</v>
      </c>
      <c r="K100" s="8" t="n">
        <v>31.9003471714963</v>
      </c>
    </row>
    <row r="101" customFormat="false" ht="15" hidden="false" customHeight="false" outlineLevel="0" collapsed="false">
      <c r="A101" s="6" t="s">
        <v>92</v>
      </c>
      <c r="B101" s="6" t="s">
        <v>192</v>
      </c>
      <c r="C101" s="8" t="n">
        <v>0.125</v>
      </c>
      <c r="D101" s="8" t="n">
        <v>0.183440860215054</v>
      </c>
      <c r="E101" s="8" t="n">
        <v>0.426131022467322</v>
      </c>
      <c r="F101" s="8" t="n">
        <v>0.0568690000957445</v>
      </c>
      <c r="G101" s="8" t="n">
        <v>0.0387515900417954</v>
      </c>
      <c r="H101" s="8" t="n">
        <v>0.0229301075268817</v>
      </c>
      <c r="I101" s="8" t="n">
        <v>0.125</v>
      </c>
      <c r="J101" s="8" t="n">
        <v>0.875</v>
      </c>
      <c r="K101" s="8" t="n">
        <v>27.2774570451757</v>
      </c>
    </row>
    <row r="102" customFormat="false" ht="15" hidden="false" customHeight="false" outlineLevel="0" collapsed="false">
      <c r="A102" s="6" t="s">
        <v>92</v>
      </c>
      <c r="B102" s="6" t="s">
        <v>193</v>
      </c>
      <c r="C102" s="8" t="n">
        <v>0.131955726168072</v>
      </c>
      <c r="D102" s="8" t="n">
        <v>0.19010752688172</v>
      </c>
      <c r="E102" s="8" t="n">
        <v>0.525204698369123</v>
      </c>
      <c r="F102" s="8" t="n">
        <v>0.0768319041819324</v>
      </c>
      <c r="G102" s="8" t="n">
        <v>0.055863461242102</v>
      </c>
      <c r="H102" s="8" t="n">
        <v>0.0540006166619174</v>
      </c>
      <c r="I102" s="8" t="n">
        <v>0.131955726168072</v>
      </c>
      <c r="J102" s="8" t="n">
        <v>0.87630362269747</v>
      </c>
      <c r="K102" s="8" t="n">
        <v>635573.739143145</v>
      </c>
    </row>
    <row r="103" customFormat="false" ht="15" hidden="false" customHeight="false" outlineLevel="0" collapsed="false">
      <c r="A103" s="6" t="s">
        <v>92</v>
      </c>
      <c r="B103" s="6" t="s">
        <v>194</v>
      </c>
      <c r="C103" s="8" t="n">
        <v>0.125</v>
      </c>
      <c r="D103" s="8" t="n">
        <v>0.14494623655914</v>
      </c>
      <c r="E103" s="8" t="n">
        <v>0.5</v>
      </c>
      <c r="F103" s="8" t="n">
        <v>0.0366993852144479</v>
      </c>
      <c r="G103" s="8" t="n">
        <v>0.031649135987979</v>
      </c>
      <c r="H103" s="8" t="n">
        <v>0.0181182795698925</v>
      </c>
      <c r="I103" s="8" t="n">
        <v>0.125</v>
      </c>
      <c r="J103" s="8" t="n">
        <v>0.875</v>
      </c>
      <c r="K103" s="8" t="n">
        <v>4.83606459078284E+017</v>
      </c>
    </row>
    <row r="104" customFormat="false" ht="15" hidden="false" customHeight="false" outlineLevel="0" collapsed="false">
      <c r="A104" s="6" t="s">
        <v>92</v>
      </c>
      <c r="B104" s="6" t="s">
        <v>195</v>
      </c>
      <c r="C104" s="8" t="n">
        <v>0.257235149465898</v>
      </c>
      <c r="D104" s="8" t="n">
        <v>0.28494623655914</v>
      </c>
      <c r="E104" s="8" t="n">
        <v>0.654944605038683</v>
      </c>
      <c r="F104" s="8" t="n">
        <v>0.316460754819048</v>
      </c>
      <c r="G104" s="8" t="n">
        <v>0.19535477479206</v>
      </c>
      <c r="H104" s="8" t="n">
        <v>0.216030400316144</v>
      </c>
      <c r="I104" s="8" t="n">
        <v>0.257235149465898</v>
      </c>
      <c r="J104" s="8" t="n">
        <v>0.893596328169533</v>
      </c>
      <c r="K104" s="8" t="n">
        <v>12.4534152584179</v>
      </c>
    </row>
    <row r="105" customFormat="false" ht="15" hidden="false" customHeight="false" outlineLevel="0" collapsed="false">
      <c r="A105" s="6" t="s">
        <v>92</v>
      </c>
      <c r="B105" s="6" t="s">
        <v>196</v>
      </c>
      <c r="C105" s="8" t="n">
        <v>0.422629166751841</v>
      </c>
      <c r="D105" s="8" t="n">
        <v>0.458924731182796</v>
      </c>
      <c r="E105" s="8" t="n">
        <v>0.81280717564136</v>
      </c>
      <c r="F105" s="8" t="n">
        <v>0.493455618670126</v>
      </c>
      <c r="G105" s="8" t="n">
        <v>0.307101007049356</v>
      </c>
      <c r="H105" s="8" t="n">
        <v>0.3118616293332</v>
      </c>
      <c r="I105" s="8" t="n">
        <v>0.422629166751841</v>
      </c>
      <c r="J105" s="8" t="n">
        <v>0.918624139061254</v>
      </c>
      <c r="K105" s="8" t="n">
        <v>9.79807710145109</v>
      </c>
    </row>
    <row r="106" customFormat="false" ht="15" hidden="false" customHeight="false" outlineLevel="0" collapsed="false">
      <c r="A106" s="6" t="s">
        <v>92</v>
      </c>
      <c r="B106" s="6" t="s">
        <v>197</v>
      </c>
      <c r="C106" s="8" t="n">
        <v>0.493975336495495</v>
      </c>
      <c r="D106" s="8" t="n">
        <v>0.539354838709677</v>
      </c>
      <c r="E106" s="8" t="n">
        <v>0.864478347437413</v>
      </c>
      <c r="F106" s="8" t="n">
        <v>0.56325236278649</v>
      </c>
      <c r="G106" s="8" t="n">
        <v>0.366866751109555</v>
      </c>
      <c r="H106" s="8" t="n">
        <v>0.375954769530524</v>
      </c>
      <c r="I106" s="8" t="n">
        <v>0.493975336495495</v>
      </c>
      <c r="J106" s="8" t="n">
        <v>0.926436958442157</v>
      </c>
      <c r="K106" s="8" t="n">
        <v>7.77767207422564</v>
      </c>
    </row>
    <row r="107" customFormat="false" ht="15" hidden="false" customHeight="false" outlineLevel="0" collapsed="false">
      <c r="A107" s="6" t="s">
        <v>92</v>
      </c>
      <c r="B107" s="6" t="s">
        <v>198</v>
      </c>
      <c r="C107" s="8" t="n">
        <v>0.524873638362843</v>
      </c>
      <c r="D107" s="8" t="n">
        <v>0.624516129032258</v>
      </c>
      <c r="E107" s="8" t="n">
        <v>0.896974514838483</v>
      </c>
      <c r="F107" s="8" t="n">
        <v>0.620065162000685</v>
      </c>
      <c r="G107" s="8" t="n">
        <v>0.49921160872647</v>
      </c>
      <c r="H107" s="8" t="n">
        <v>0.499471217935687</v>
      </c>
      <c r="I107" s="8" t="n">
        <v>0.524873638362843</v>
      </c>
      <c r="J107" s="8" t="n">
        <v>0.933223691596491</v>
      </c>
      <c r="K107" s="8" t="n">
        <v>7.44652086541217</v>
      </c>
    </row>
    <row r="108" customFormat="false" ht="15" hidden="false" customHeight="false" outlineLevel="0" collapsed="false">
      <c r="A108" s="6" t="s">
        <v>92</v>
      </c>
      <c r="B108" s="6" t="s">
        <v>199</v>
      </c>
      <c r="C108" s="8" t="n">
        <v>0.50024114171973</v>
      </c>
      <c r="D108" s="8" t="n">
        <v>0.612688172043011</v>
      </c>
      <c r="E108" s="8" t="n">
        <v>0.893828041167678</v>
      </c>
      <c r="F108" s="8" t="n">
        <v>0.588694387591955</v>
      </c>
      <c r="G108" s="8" t="n">
        <v>0.422810510924254</v>
      </c>
      <c r="H108" s="8" t="n">
        <v>0.486376199034779</v>
      </c>
      <c r="I108" s="8" t="n">
        <v>0.50024114171973</v>
      </c>
      <c r="J108" s="8" t="n">
        <v>0.927253490586624</v>
      </c>
      <c r="K108" s="8" t="n">
        <v>10.2676934415406</v>
      </c>
    </row>
    <row r="109" customFormat="false" ht="15" hidden="false" customHeight="false" outlineLevel="0" collapsed="false">
      <c r="A109" s="6" t="s">
        <v>92</v>
      </c>
      <c r="B109" s="6" t="s">
        <v>200</v>
      </c>
      <c r="C109" s="8" t="n">
        <v>0.125</v>
      </c>
      <c r="D109" s="8" t="n">
        <v>0.183440860215054</v>
      </c>
      <c r="E109" s="8" t="n">
        <v>0.500012903249247</v>
      </c>
      <c r="F109" s="8" t="n">
        <v>0.0568690000957445</v>
      </c>
      <c r="G109" s="8" t="n">
        <v>0.0387515900417954</v>
      </c>
      <c r="H109" s="8" t="n">
        <v>0.0229301075268817</v>
      </c>
      <c r="I109" s="8" t="n">
        <v>0.125</v>
      </c>
      <c r="J109" s="8" t="n">
        <v>0.875</v>
      </c>
      <c r="K109" s="8" t="n">
        <v>37957.6119326487</v>
      </c>
    </row>
    <row r="110" customFormat="false" ht="15" hidden="false" customHeight="false" outlineLevel="0" collapsed="false">
      <c r="A110" s="6" t="s">
        <v>92</v>
      </c>
      <c r="B110" s="6" t="s">
        <v>201</v>
      </c>
      <c r="C110" s="8" t="n">
        <v>0.17140407835592</v>
      </c>
      <c r="D110" s="8" t="n">
        <v>0.334408602150538</v>
      </c>
      <c r="E110" s="8" t="n">
        <v>0.529498145363224</v>
      </c>
      <c r="F110" s="8" t="n">
        <v>0.306374733269977</v>
      </c>
      <c r="G110" s="8" t="n">
        <v>0.105556375004939</v>
      </c>
      <c r="H110" s="8" t="n">
        <v>0.0942593101527877</v>
      </c>
      <c r="I110" s="8" t="n">
        <v>0.17140407835592</v>
      </c>
      <c r="J110" s="8" t="n">
        <v>0.888441532677419</v>
      </c>
      <c r="K110" s="8" t="n">
        <v>198713.248750656</v>
      </c>
    </row>
    <row r="111" customFormat="false" ht="15" hidden="false" customHeight="false" outlineLevel="0" collapsed="false">
      <c r="A111" s="6" t="s">
        <v>92</v>
      </c>
      <c r="B111" s="6" t="s">
        <v>202</v>
      </c>
      <c r="C111" s="8" t="n">
        <v>0.250721588095518</v>
      </c>
      <c r="D111" s="8" t="n">
        <v>0.288387096774194</v>
      </c>
      <c r="E111" s="8" t="n">
        <v>0.672977130476698</v>
      </c>
      <c r="F111" s="8" t="n">
        <v>0.328782210248512</v>
      </c>
      <c r="G111" s="8" t="n">
        <v>0.19894580759327</v>
      </c>
      <c r="H111" s="8" t="n">
        <v>0.216650287437362</v>
      </c>
      <c r="I111" s="8" t="n">
        <v>0.250721588095518</v>
      </c>
      <c r="J111" s="8" t="n">
        <v>0.894497825777218</v>
      </c>
      <c r="K111" s="8" t="n">
        <v>12.403725218978</v>
      </c>
    </row>
    <row r="112" customFormat="false" ht="15" hidden="false" customHeight="false" outlineLevel="0" collapsed="false">
      <c r="A112" s="6" t="s">
        <v>92</v>
      </c>
      <c r="B112" s="6" t="s">
        <v>203</v>
      </c>
      <c r="C112" s="8" t="n">
        <v>0.468247725995888</v>
      </c>
      <c r="D112" s="8" t="n">
        <v>0.518279569892473</v>
      </c>
      <c r="E112" s="8" t="n">
        <v>0.848720303404047</v>
      </c>
      <c r="F112" s="8" t="n">
        <v>0.548013985922347</v>
      </c>
      <c r="G112" s="8" t="n">
        <v>0.354016423403722</v>
      </c>
      <c r="H112" s="8" t="n">
        <v>0.353861816996048</v>
      </c>
      <c r="I112" s="8" t="n">
        <v>0.468247725995888</v>
      </c>
      <c r="J112" s="8" t="n">
        <v>0.925649405240122</v>
      </c>
      <c r="K112" s="8" t="n">
        <v>8.53243207828973</v>
      </c>
    </row>
    <row r="113" customFormat="false" ht="15" hidden="false" customHeight="false" outlineLevel="0" collapsed="false">
      <c r="A113" s="6" t="s">
        <v>92</v>
      </c>
      <c r="B113" s="6" t="s">
        <v>204</v>
      </c>
      <c r="C113" s="8" t="n">
        <v>0.550332363923367</v>
      </c>
      <c r="D113" s="8" t="n">
        <v>0.591612903225806</v>
      </c>
      <c r="E113" s="8" t="n">
        <v>0.89156855633849</v>
      </c>
      <c r="F113" s="8" t="n">
        <v>0.604187949438329</v>
      </c>
      <c r="G113" s="8" t="n">
        <v>0.412052782684623</v>
      </c>
      <c r="H113" s="8" t="n">
        <v>0.419837790375702</v>
      </c>
      <c r="I113" s="8" t="n">
        <v>0.550332363923367</v>
      </c>
      <c r="J113" s="8" t="n">
        <v>0.933213063889175</v>
      </c>
      <c r="K113" s="8" t="n">
        <v>6.91237087002365</v>
      </c>
    </row>
    <row r="114" customFormat="false" ht="15" hidden="false" customHeight="false" outlineLevel="0" collapsed="false">
      <c r="A114" s="6" t="s">
        <v>92</v>
      </c>
      <c r="B114" s="6" t="s">
        <v>205</v>
      </c>
      <c r="C114" s="8" t="n">
        <v>0.561285601535097</v>
      </c>
      <c r="D114" s="8" t="n">
        <v>0.632688172043011</v>
      </c>
      <c r="E114" s="8" t="n">
        <v>0.906317070523722</v>
      </c>
      <c r="F114" s="8" t="n">
        <v>0.636576039037444</v>
      </c>
      <c r="G114" s="8" t="n">
        <v>0.563218942166031</v>
      </c>
      <c r="H114" s="8" t="n">
        <v>0.58392354677053</v>
      </c>
      <c r="I114" s="8" t="n">
        <v>0.561285601535097</v>
      </c>
      <c r="J114" s="8" t="n">
        <v>0.936867541354416</v>
      </c>
      <c r="K114" s="8" t="n">
        <v>7.51002813960916</v>
      </c>
    </row>
    <row r="115" customFormat="false" ht="15" hidden="false" customHeight="false" outlineLevel="0" collapsed="false">
      <c r="A115" s="6" t="s">
        <v>92</v>
      </c>
      <c r="B115" s="6" t="s">
        <v>206</v>
      </c>
      <c r="C115" s="8" t="n">
        <v>0.508406629093318</v>
      </c>
      <c r="D115" s="8" t="n">
        <v>0.600215053763441</v>
      </c>
      <c r="E115" s="8" t="n">
        <v>0.88196796349689</v>
      </c>
      <c r="F115" s="8" t="n">
        <v>0.598509853143955</v>
      </c>
      <c r="G115" s="8" t="n">
        <v>0.454623493659772</v>
      </c>
      <c r="H115" s="8" t="n">
        <v>0.460288189657692</v>
      </c>
      <c r="I115" s="8" t="n">
        <v>0.508406629093318</v>
      </c>
      <c r="J115" s="8" t="n">
        <v>0.929859015636466</v>
      </c>
      <c r="K115" s="8" t="n">
        <v>10.6608138820433</v>
      </c>
    </row>
    <row r="116" customFormat="false" ht="15" hidden="false" customHeight="false" outlineLevel="0" collapsed="false">
      <c r="A116" s="6" t="s">
        <v>92</v>
      </c>
      <c r="B116" s="6" t="s">
        <v>207</v>
      </c>
      <c r="C116" s="8" t="n">
        <v>0.153394414396245</v>
      </c>
      <c r="D116" s="8" t="n">
        <v>0.383010752688172</v>
      </c>
      <c r="E116" s="8" t="n">
        <v>0.622057961653198</v>
      </c>
      <c r="F116" s="8" t="n">
        <v>0.31814713917337</v>
      </c>
      <c r="G116" s="8" t="n">
        <v>0.0861801536422321</v>
      </c>
      <c r="H116" s="8" t="n">
        <v>0.0866892430145533</v>
      </c>
      <c r="I116" s="8" t="n">
        <v>0.153394414396245</v>
      </c>
      <c r="J116" s="8" t="n">
        <v>0.888852040554875</v>
      </c>
      <c r="K116" s="8" t="n">
        <v>410.976075850405</v>
      </c>
    </row>
    <row r="117" customFormat="false" ht="15" hidden="false" customHeight="false" outlineLevel="0" collapsed="false">
      <c r="A117" s="6" t="s">
        <v>92</v>
      </c>
      <c r="B117" s="6" t="s">
        <v>208</v>
      </c>
      <c r="C117" s="8" t="n">
        <v>0.125</v>
      </c>
      <c r="D117" s="8" t="n">
        <v>0.10236559139785</v>
      </c>
      <c r="E117" s="8" t="n">
        <v>0.5</v>
      </c>
      <c r="F117" s="8" t="n">
        <v>0.0190113232560969</v>
      </c>
      <c r="G117" s="8" t="n">
        <v>0.0232149824424503</v>
      </c>
      <c r="H117" s="8" t="n">
        <v>0.0127956989247312</v>
      </c>
      <c r="I117" s="8" t="n">
        <v>0.125</v>
      </c>
      <c r="J117" s="8" t="n">
        <v>0.875</v>
      </c>
      <c r="K117" s="8" t="n">
        <v>75737.5462439096</v>
      </c>
    </row>
    <row r="118" customFormat="false" ht="15" hidden="false" customHeight="false" outlineLevel="0" collapsed="false">
      <c r="A118" s="6" t="s">
        <v>92</v>
      </c>
      <c r="B118" s="6" t="s">
        <v>209</v>
      </c>
      <c r="C118" s="8" t="n">
        <v>0.20731146522452</v>
      </c>
      <c r="D118" s="8" t="n">
        <v>0.212688172043011</v>
      </c>
      <c r="E118" s="8" t="n">
        <v>0.629169561640933</v>
      </c>
      <c r="F118" s="8" t="n">
        <v>0.239040976590647</v>
      </c>
      <c r="G118" s="8" t="n">
        <v>0.157272569980363</v>
      </c>
      <c r="H118" s="8" t="n">
        <v>0.18682929832548</v>
      </c>
      <c r="I118" s="8" t="n">
        <v>0.20731146522452</v>
      </c>
      <c r="J118" s="8" t="n">
        <v>0.886490058810134</v>
      </c>
      <c r="K118" s="8" t="n">
        <v>12.7429103873366</v>
      </c>
    </row>
    <row r="119" customFormat="false" ht="15" hidden="false" customHeight="false" outlineLevel="0" collapsed="false">
      <c r="A119" s="6" t="s">
        <v>92</v>
      </c>
      <c r="B119" s="6" t="s">
        <v>210</v>
      </c>
      <c r="C119" s="8" t="n">
        <v>0.433876834468212</v>
      </c>
      <c r="D119" s="8" t="n">
        <v>0.538709677419355</v>
      </c>
      <c r="E119" s="8" t="n">
        <v>0.828913345228846</v>
      </c>
      <c r="F119" s="8" t="n">
        <v>0.545227118718013</v>
      </c>
      <c r="G119" s="8" t="n">
        <v>0.364412290655755</v>
      </c>
      <c r="H119" s="8" t="n">
        <v>0.36747761832013</v>
      </c>
      <c r="I119" s="8" t="n">
        <v>0.433876834468212</v>
      </c>
      <c r="J119" s="8" t="n">
        <v>0.924078082470374</v>
      </c>
      <c r="K119" s="8" t="n">
        <v>10.0974339447739</v>
      </c>
    </row>
    <row r="120" customFormat="false" ht="15" hidden="false" customHeight="false" outlineLevel="0" collapsed="false">
      <c r="A120" s="6" t="s">
        <v>92</v>
      </c>
      <c r="B120" s="6" t="s">
        <v>211</v>
      </c>
      <c r="C120" s="8" t="n">
        <v>0.574557224101711</v>
      </c>
      <c r="D120" s="8" t="n">
        <v>0.613763440860215</v>
      </c>
      <c r="E120" s="8" t="n">
        <v>0.904945865662564</v>
      </c>
      <c r="F120" s="8" t="n">
        <v>0.614782309373473</v>
      </c>
      <c r="G120" s="8" t="n">
        <v>0.436129308238085</v>
      </c>
      <c r="H120" s="8" t="n">
        <v>0.441722485184423</v>
      </c>
      <c r="I120" s="8" t="n">
        <v>0.574557224101711</v>
      </c>
      <c r="J120" s="8" t="n">
        <v>0.934239358074516</v>
      </c>
      <c r="K120" s="8" t="n">
        <v>5.82474031120218</v>
      </c>
    </row>
    <row r="121" customFormat="false" ht="15" hidden="false" customHeight="false" outlineLevel="0" collapsed="false">
      <c r="A121" s="6" t="s">
        <v>92</v>
      </c>
      <c r="B121" s="6" t="s">
        <v>212</v>
      </c>
      <c r="C121" s="8" t="n">
        <v>0.573778192370953</v>
      </c>
      <c r="D121" s="8" t="n">
        <v>0.664086021505376</v>
      </c>
      <c r="E121" s="8" t="n">
        <v>0.915998301100462</v>
      </c>
      <c r="F121" s="8" t="n">
        <v>0.658070978206748</v>
      </c>
      <c r="G121" s="8" t="n">
        <v>0.553935820431696</v>
      </c>
      <c r="H121" s="8" t="n">
        <v>0.55440466166269</v>
      </c>
      <c r="I121" s="8" t="n">
        <v>0.573778192370953</v>
      </c>
      <c r="J121" s="8" t="n">
        <v>0.940419610878475</v>
      </c>
      <c r="K121" s="8" t="n">
        <v>7.55521906415622</v>
      </c>
    </row>
    <row r="122" customFormat="false" ht="15" hidden="false" customHeight="false" outlineLevel="0" collapsed="false">
      <c r="A122" s="6" t="s">
        <v>92</v>
      </c>
      <c r="B122" s="6" t="s">
        <v>213</v>
      </c>
      <c r="C122" s="8" t="n">
        <v>0.366442762315017</v>
      </c>
      <c r="D122" s="8" t="n">
        <v>0.436129032258065</v>
      </c>
      <c r="E122" s="8" t="n">
        <v>0.861276956789634</v>
      </c>
      <c r="F122" s="8" t="n">
        <v>0.441352615572965</v>
      </c>
      <c r="G122" s="8" t="n">
        <v>0.395387323492004</v>
      </c>
      <c r="H122" s="8" t="n">
        <v>0.590571745384736</v>
      </c>
      <c r="I122" s="8" t="n">
        <v>0.366442762315017</v>
      </c>
      <c r="J122" s="8" t="n">
        <v>0.910802064493378</v>
      </c>
      <c r="K122" s="8" t="n">
        <v>24.9701659916421</v>
      </c>
    </row>
    <row r="123" customFormat="false" ht="15" hidden="false" customHeight="false" outlineLevel="0" collapsed="false">
      <c r="A123" s="6" t="s">
        <v>92</v>
      </c>
      <c r="B123" s="6" t="s">
        <v>214</v>
      </c>
      <c r="C123" s="8" t="n">
        <v>0.177467841878135</v>
      </c>
      <c r="D123" s="8" t="n">
        <v>0.219139784946237</v>
      </c>
      <c r="E123" s="8" t="n">
        <v>0.614418160966355</v>
      </c>
      <c r="F123" s="8" t="n">
        <v>0.184897794312976</v>
      </c>
      <c r="G123" s="8" t="n">
        <v>0.136915307007161</v>
      </c>
      <c r="H123" s="8" t="n">
        <v>0.2165258168595</v>
      </c>
      <c r="I123" s="8" t="n">
        <v>0.177467841878135</v>
      </c>
      <c r="J123" s="8" t="n">
        <v>0.881255956267367</v>
      </c>
      <c r="K123" s="8" t="n">
        <v>126.87756093579</v>
      </c>
    </row>
    <row r="124" customFormat="false" ht="15" hidden="false" customHeight="false" outlineLevel="0" collapsed="false">
      <c r="A124" s="6" t="s">
        <v>92</v>
      </c>
      <c r="B124" s="6" t="s">
        <v>215</v>
      </c>
      <c r="C124" s="8" t="n">
        <v>0.125</v>
      </c>
      <c r="D124" s="8" t="n">
        <v>0.14494623655914</v>
      </c>
      <c r="E124" s="8" t="n">
        <v>0.5</v>
      </c>
      <c r="F124" s="8" t="n">
        <v>0.0366993852144479</v>
      </c>
      <c r="G124" s="8" t="n">
        <v>0.031649135987979</v>
      </c>
      <c r="H124" s="8" t="n">
        <v>0.0181182795698925</v>
      </c>
      <c r="I124" s="8" t="n">
        <v>0.125</v>
      </c>
      <c r="J124" s="8" t="n">
        <v>0.875</v>
      </c>
      <c r="K124" s="8" t="n">
        <v>82351.6378545027</v>
      </c>
    </row>
    <row r="125" customFormat="false" ht="15" hidden="false" customHeight="false" outlineLevel="0" collapsed="false">
      <c r="A125" s="6" t="s">
        <v>92</v>
      </c>
      <c r="B125" s="6" t="s">
        <v>216</v>
      </c>
      <c r="C125" s="8" t="n">
        <v>0.125880534669391</v>
      </c>
      <c r="D125" s="8" t="n">
        <v>0.11741935483871</v>
      </c>
      <c r="E125" s="8" t="n">
        <v>0.443297347462049</v>
      </c>
      <c r="F125" s="8" t="n">
        <v>0.0548832376723636</v>
      </c>
      <c r="G125" s="8" t="n">
        <v>0.0341923947548708</v>
      </c>
      <c r="H125" s="8" t="n">
        <v>0.102450829709413</v>
      </c>
      <c r="I125" s="8" t="n">
        <v>0.125880534669391</v>
      </c>
      <c r="J125" s="8" t="n">
        <v>0.875584186651365</v>
      </c>
      <c r="K125" s="8" t="n">
        <v>13.2598209004761</v>
      </c>
    </row>
    <row r="126" customFormat="false" ht="15" hidden="false" customHeight="false" outlineLevel="0" collapsed="false">
      <c r="A126" s="6" t="s">
        <v>92</v>
      </c>
      <c r="B126" s="6" t="s">
        <v>217</v>
      </c>
      <c r="C126" s="8" t="n">
        <v>0.156158773606843</v>
      </c>
      <c r="D126" s="8" t="n">
        <v>0.138924731182796</v>
      </c>
      <c r="E126" s="8" t="n">
        <v>0.616980040666949</v>
      </c>
      <c r="F126" s="8" t="n">
        <v>0.161608546163599</v>
      </c>
      <c r="G126" s="8" t="n">
        <v>0.104198965153572</v>
      </c>
      <c r="H126" s="8" t="n">
        <v>0.181753754555454</v>
      </c>
      <c r="I126" s="8" t="n">
        <v>0.156158773606843</v>
      </c>
      <c r="J126" s="8" t="n">
        <v>0.881471072449964</v>
      </c>
      <c r="K126" s="8" t="n">
        <v>12.9461456206537</v>
      </c>
    </row>
    <row r="127" customFormat="false" ht="15" hidden="false" customHeight="false" outlineLevel="0" collapsed="false">
      <c r="A127" s="6" t="s">
        <v>92</v>
      </c>
      <c r="B127" s="6" t="s">
        <v>218</v>
      </c>
      <c r="C127" s="8" t="n">
        <v>0.220823295082712</v>
      </c>
      <c r="D127" s="8" t="n">
        <v>0.448387096774194</v>
      </c>
      <c r="E127" s="8" t="n">
        <v>0.686898738109847</v>
      </c>
      <c r="F127" s="8" t="n">
        <v>0.405661226973919</v>
      </c>
      <c r="G127" s="8" t="n">
        <v>0.195794767078843</v>
      </c>
      <c r="H127" s="8" t="n">
        <v>0.295457430635688</v>
      </c>
      <c r="I127" s="8" t="n">
        <v>0.220823295082712</v>
      </c>
      <c r="J127" s="8" t="n">
        <v>0.901096868391449</v>
      </c>
      <c r="K127" s="8" t="n">
        <v>12.5930475620557</v>
      </c>
    </row>
    <row r="128" customFormat="false" ht="15" hidden="false" customHeight="false" outlineLevel="0" collapsed="false">
      <c r="A128" s="6" t="s">
        <v>92</v>
      </c>
      <c r="B128" s="6" t="s">
        <v>219</v>
      </c>
      <c r="C128" s="8" t="n">
        <v>0.497609102750246</v>
      </c>
      <c r="D128" s="8" t="n">
        <v>0.59010752688172</v>
      </c>
      <c r="E128" s="8" t="n">
        <v>0.876924290856917</v>
      </c>
      <c r="F128" s="8" t="n">
        <v>0.59376268475226</v>
      </c>
      <c r="G128" s="8" t="n">
        <v>0.389829614152738</v>
      </c>
      <c r="H128" s="8" t="n">
        <v>0.410604895137249</v>
      </c>
      <c r="I128" s="8" t="n">
        <v>0.497609102750246</v>
      </c>
      <c r="J128" s="8" t="n">
        <v>0.92983184619565</v>
      </c>
      <c r="K128" s="8" t="n">
        <v>7.70839921912839</v>
      </c>
    </row>
    <row r="129" customFormat="false" ht="15" hidden="false" customHeight="false" outlineLevel="0" collapsed="false">
      <c r="A129" s="6" t="s">
        <v>92</v>
      </c>
      <c r="B129" s="6" t="s">
        <v>220</v>
      </c>
      <c r="C129" s="8" t="n">
        <v>0.296757962012076</v>
      </c>
      <c r="D129" s="8" t="n">
        <v>0.24752688172043</v>
      </c>
      <c r="E129" s="8" t="n">
        <v>0.760098105239391</v>
      </c>
      <c r="F129" s="8" t="n">
        <v>0.199335317922054</v>
      </c>
      <c r="G129" s="8" t="n">
        <v>0.187190091206761</v>
      </c>
      <c r="H129" s="8" t="n">
        <v>0.288971792548922</v>
      </c>
      <c r="I129" s="8" t="n">
        <v>0.296757962012076</v>
      </c>
      <c r="J129" s="8" t="n">
        <v>0.889224567315117</v>
      </c>
      <c r="K129" s="8" t="n">
        <v>23.2607442117506</v>
      </c>
    </row>
    <row r="130" customFormat="false" ht="15" hidden="false" customHeight="false" outlineLevel="0" collapsed="false">
      <c r="A130" s="6" t="s">
        <v>92</v>
      </c>
      <c r="B130" s="6" t="s">
        <v>221</v>
      </c>
      <c r="C130" s="8" t="n">
        <v>0.109180414149402</v>
      </c>
      <c r="D130" s="8" t="n">
        <v>0.233333333333333</v>
      </c>
      <c r="E130" s="8" t="n">
        <v>0.553939639628858</v>
      </c>
      <c r="F130" s="8" t="n">
        <v>0.197320416170112</v>
      </c>
      <c r="G130" s="8" t="n">
        <v>0.0712211524366531</v>
      </c>
      <c r="H130" s="8" t="n">
        <v>0.0858619521640788</v>
      </c>
      <c r="I130" s="8" t="n">
        <v>0.109180414149402</v>
      </c>
      <c r="J130" s="8" t="n">
        <v>0.86868804446986</v>
      </c>
      <c r="K130" s="8" t="n">
        <v>572.576783144961</v>
      </c>
    </row>
    <row r="131" customFormat="false" ht="15" hidden="false" customHeight="false" outlineLevel="0" collapsed="false">
      <c r="A131" s="6" t="s">
        <v>92</v>
      </c>
      <c r="B131" s="6" t="s">
        <v>222</v>
      </c>
      <c r="C131" s="8" t="n">
        <v>0.133511069661828</v>
      </c>
      <c r="D131" s="8" t="n">
        <v>0.104516129032258</v>
      </c>
      <c r="E131" s="8" t="n">
        <v>0.517788210415492</v>
      </c>
      <c r="F131" s="8" t="n">
        <v>0.134553140348986</v>
      </c>
      <c r="G131" s="8" t="n">
        <v>0.0379648289684424</v>
      </c>
      <c r="H131" s="8" t="n">
        <v>0.0621667233945995</v>
      </c>
      <c r="I131" s="8" t="n">
        <v>0.133511069661828</v>
      </c>
      <c r="J131" s="8" t="n">
        <v>0.875202853759956</v>
      </c>
      <c r="K131" s="8" t="n">
        <v>1567.3220880492</v>
      </c>
    </row>
    <row r="132" customFormat="false" ht="15" hidden="false" customHeight="false" outlineLevel="0" collapsed="false">
      <c r="A132" s="6" t="s">
        <v>92</v>
      </c>
      <c r="B132" s="6" t="s">
        <v>223</v>
      </c>
      <c r="C132" s="8" t="n">
        <v>0.125</v>
      </c>
      <c r="D132" s="8" t="n">
        <v>0.482150537634409</v>
      </c>
      <c r="E132" s="8" t="n">
        <v>0.501444250992885</v>
      </c>
      <c r="F132" s="8" t="n">
        <v>0.313691673063362</v>
      </c>
      <c r="G132" s="8" t="n">
        <v>0.081326175275682</v>
      </c>
      <c r="H132" s="8" t="n">
        <v>0.0602688172043011</v>
      </c>
      <c r="I132" s="8" t="n">
        <v>0.125</v>
      </c>
      <c r="J132" s="8" t="n">
        <v>0.875</v>
      </c>
      <c r="K132" s="8" t="n">
        <v>13.3148906816462</v>
      </c>
    </row>
    <row r="133" customFormat="false" ht="15" hidden="false" customHeight="false" outlineLevel="0" collapsed="false">
      <c r="A133" s="6" t="s">
        <v>92</v>
      </c>
      <c r="B133" s="6" t="s">
        <v>224</v>
      </c>
      <c r="C133" s="8" t="n">
        <v>0.125</v>
      </c>
      <c r="D133" s="8" t="n">
        <v>0.482150537634409</v>
      </c>
      <c r="E133" s="8" t="n">
        <v>0.496041852385174</v>
      </c>
      <c r="F133" s="8" t="n">
        <v>0.313691673063362</v>
      </c>
      <c r="G133" s="8" t="n">
        <v>0.081326175275682</v>
      </c>
      <c r="H133" s="8" t="n">
        <v>0.0602688172043011</v>
      </c>
      <c r="I133" s="8" t="n">
        <v>0.125</v>
      </c>
      <c r="J133" s="8" t="n">
        <v>0.875</v>
      </c>
      <c r="K133" s="8" t="n">
        <v>13.3282690040014</v>
      </c>
    </row>
    <row r="134" customFormat="false" ht="15" hidden="false" customHeight="false" outlineLevel="0" collapsed="false">
      <c r="A134" s="6" t="s">
        <v>92</v>
      </c>
      <c r="B134" s="6" t="s">
        <v>225</v>
      </c>
      <c r="C134" s="8" t="n">
        <v>0.125</v>
      </c>
      <c r="D134" s="8" t="n">
        <v>0.482150537634409</v>
      </c>
      <c r="E134" s="8" t="n">
        <v>0.506046029388439</v>
      </c>
      <c r="F134" s="8" t="n">
        <v>0.313691673063362</v>
      </c>
      <c r="G134" s="8" t="n">
        <v>0.081326175275682</v>
      </c>
      <c r="H134" s="8" t="n">
        <v>0.0602688172043011</v>
      </c>
      <c r="I134" s="8" t="n">
        <v>0.125</v>
      </c>
      <c r="J134" s="8" t="n">
        <v>0.875</v>
      </c>
      <c r="K134" s="8" t="n">
        <v>14.2734466257659</v>
      </c>
    </row>
    <row r="135" customFormat="false" ht="15" hidden="false" customHeight="false" outlineLevel="0" collapsed="false">
      <c r="A135" s="6" t="s">
        <v>92</v>
      </c>
      <c r="B135" s="6" t="s">
        <v>226</v>
      </c>
      <c r="C135" s="8" t="n">
        <v>0.125</v>
      </c>
      <c r="D135" s="8" t="n">
        <v>0.482150537634409</v>
      </c>
      <c r="E135" s="8" t="n">
        <v>0.57490647742232</v>
      </c>
      <c r="F135" s="8" t="n">
        <v>0.313691673063362</v>
      </c>
      <c r="G135" s="8" t="n">
        <v>0.081326175275682</v>
      </c>
      <c r="H135" s="8" t="n">
        <v>0.0602688172043011</v>
      </c>
      <c r="I135" s="8" t="n">
        <v>0.125</v>
      </c>
      <c r="J135" s="8" t="n">
        <v>0.875</v>
      </c>
      <c r="K135" s="8" t="n">
        <v>14.3692882468624</v>
      </c>
    </row>
    <row r="136" customFormat="false" ht="15" hidden="false" customHeight="false" outlineLevel="0" collapsed="false">
      <c r="A136" s="6" t="s">
        <v>92</v>
      </c>
      <c r="B136" s="6" t="s">
        <v>227</v>
      </c>
      <c r="C136" s="8" t="n">
        <v>0.123148253823328</v>
      </c>
      <c r="D136" s="8" t="n">
        <v>0.0372043010752688</v>
      </c>
      <c r="E136" s="8" t="n">
        <v>0.512676200997514</v>
      </c>
      <c r="F136" s="8" t="n">
        <v>0.0275873792328386</v>
      </c>
      <c r="G136" s="8" t="n">
        <v>0.0283139289389808</v>
      </c>
      <c r="H136" s="8" t="n">
        <v>0.0252541313378737</v>
      </c>
      <c r="I136" s="8" t="n">
        <v>0.123148253823328</v>
      </c>
      <c r="J136" s="8" t="n">
        <v>0.875755362392323</v>
      </c>
      <c r="K136" s="8" t="n">
        <v>14.3995970647053</v>
      </c>
    </row>
    <row r="137" customFormat="false" ht="15" hidden="false" customHeight="false" outlineLevel="0" collapsed="false">
      <c r="A137" s="6" t="s">
        <v>92</v>
      </c>
      <c r="B137" s="6" t="s">
        <v>228</v>
      </c>
      <c r="C137" s="8" t="n">
        <v>0.139195300387289</v>
      </c>
      <c r="D137" s="8" t="n">
        <v>0.355698924731183</v>
      </c>
      <c r="E137" s="8" t="n">
        <v>0.61160805042802</v>
      </c>
      <c r="F137" s="8" t="n">
        <v>0.319033369161762</v>
      </c>
      <c r="G137" s="8" t="n">
        <v>0.106898453681793</v>
      </c>
      <c r="H137" s="8" t="n">
        <v>0.0961918240995825</v>
      </c>
      <c r="I137" s="8" t="n">
        <v>0.139195300387289</v>
      </c>
      <c r="J137" s="8" t="n">
        <v>0.884771698949045</v>
      </c>
      <c r="K137" s="8" t="n">
        <v>112.786174148654</v>
      </c>
    </row>
    <row r="138" customFormat="false" ht="15" hidden="false" customHeight="false" outlineLevel="0" collapsed="false">
      <c r="A138" s="6" t="s">
        <v>92</v>
      </c>
      <c r="B138" s="6" t="s">
        <v>229</v>
      </c>
      <c r="C138" s="8" t="n">
        <v>0.0981210737905027</v>
      </c>
      <c r="D138" s="8" t="n">
        <v>0.0789247311827957</v>
      </c>
      <c r="E138" s="8" t="n">
        <v>0.483655120295242</v>
      </c>
      <c r="F138" s="8" t="n">
        <v>0.0588111717577514</v>
      </c>
      <c r="G138" s="8" t="n">
        <v>0.0422771217492344</v>
      </c>
      <c r="H138" s="8" t="n">
        <v>0.118732895971613</v>
      </c>
      <c r="I138" s="8" t="n">
        <v>0.0981210737905027</v>
      </c>
      <c r="J138" s="8" t="n">
        <v>0.871004516221832</v>
      </c>
      <c r="K138" s="8" t="n">
        <v>7699.21138501239</v>
      </c>
    </row>
    <row r="139" customFormat="false" ht="15" hidden="false" customHeight="false" outlineLevel="0" collapsed="false">
      <c r="A139" s="6" t="s">
        <v>92</v>
      </c>
      <c r="B139" s="6" t="s">
        <v>230</v>
      </c>
      <c r="C139" s="8" t="n">
        <v>0.125</v>
      </c>
      <c r="D139" s="8" t="n">
        <v>0.482150537634409</v>
      </c>
      <c r="E139" s="8" t="n">
        <v>0.499064440890727</v>
      </c>
      <c r="F139" s="8" t="n">
        <v>0.313691673063362</v>
      </c>
      <c r="G139" s="8" t="n">
        <v>0.081326175275682</v>
      </c>
      <c r="H139" s="8" t="n">
        <v>0.0602688172043011</v>
      </c>
      <c r="I139" s="8" t="n">
        <v>0.125</v>
      </c>
      <c r="J139" s="8" t="n">
        <v>0.875</v>
      </c>
      <c r="K139" s="8" t="n">
        <v>13.3057383029692</v>
      </c>
    </row>
    <row r="140" customFormat="false" ht="15" hidden="false" customHeight="false" outlineLevel="0" collapsed="false">
      <c r="A140" s="6" t="s">
        <v>92</v>
      </c>
      <c r="B140" s="6" t="s">
        <v>231</v>
      </c>
      <c r="C140" s="8" t="n">
        <v>0.125</v>
      </c>
      <c r="D140" s="8" t="n">
        <v>0.482150537634409</v>
      </c>
      <c r="E140" s="8" t="n">
        <v>0.503742542313769</v>
      </c>
      <c r="F140" s="8" t="n">
        <v>0.313691673063362</v>
      </c>
      <c r="G140" s="8" t="n">
        <v>0.081326175275682</v>
      </c>
      <c r="H140" s="8" t="n">
        <v>0.0602688172043011</v>
      </c>
      <c r="I140" s="8" t="n">
        <v>0.125</v>
      </c>
      <c r="J140" s="8" t="n">
        <v>0.875</v>
      </c>
      <c r="K140" s="8" t="n">
        <v>13.4658993769718</v>
      </c>
    </row>
    <row r="141" customFormat="false" ht="15" hidden="false" customHeight="false" outlineLevel="0" collapsed="false">
      <c r="A141" s="6" t="s">
        <v>92</v>
      </c>
      <c r="B141" s="6" t="s">
        <v>232</v>
      </c>
      <c r="C141" s="8" t="n">
        <v>0.125</v>
      </c>
      <c r="D141" s="8" t="n">
        <v>0.482150537634409</v>
      </c>
      <c r="E141" s="8" t="n">
        <v>0.505796671540891</v>
      </c>
      <c r="F141" s="8" t="n">
        <v>0.313691673063362</v>
      </c>
      <c r="G141" s="8" t="n">
        <v>0.081326175275682</v>
      </c>
      <c r="H141" s="8" t="n">
        <v>0.0602688172043011</v>
      </c>
      <c r="I141" s="8" t="n">
        <v>0.125</v>
      </c>
      <c r="J141" s="8" t="n">
        <v>0.875</v>
      </c>
      <c r="K141" s="8" t="n">
        <v>13.6635231557456</v>
      </c>
    </row>
    <row r="142" customFormat="false" ht="15" hidden="false" customHeight="false" outlineLevel="0" collapsed="false">
      <c r="A142" s="6" t="s">
        <v>92</v>
      </c>
      <c r="B142" s="6" t="s">
        <v>233</v>
      </c>
      <c r="C142" s="8" t="n">
        <v>0.125</v>
      </c>
      <c r="D142" s="8" t="n">
        <v>0.10236559139785</v>
      </c>
      <c r="E142" s="8" t="n">
        <v>0.495482863975362</v>
      </c>
      <c r="F142" s="8" t="n">
        <v>0.0190113232560969</v>
      </c>
      <c r="G142" s="8" t="n">
        <v>0.0232149824424503</v>
      </c>
      <c r="H142" s="8" t="n">
        <v>0.0127956989247312</v>
      </c>
      <c r="I142" s="8" t="n">
        <v>0.125</v>
      </c>
      <c r="J142" s="8" t="n">
        <v>0.875</v>
      </c>
      <c r="K142" s="8" t="n">
        <v>23.4278579639107</v>
      </c>
    </row>
    <row r="143" customFormat="false" ht="15" hidden="false" customHeight="false" outlineLevel="0" collapsed="false">
      <c r="A143" s="6" t="s">
        <v>92</v>
      </c>
      <c r="B143" s="6" t="s">
        <v>234</v>
      </c>
      <c r="C143" s="8" t="n">
        <v>0.125</v>
      </c>
      <c r="D143" s="8" t="n">
        <v>0.482150537634409</v>
      </c>
      <c r="E143" s="8" t="n">
        <v>0.504857862017377</v>
      </c>
      <c r="F143" s="8" t="n">
        <v>0.313691673063362</v>
      </c>
      <c r="G143" s="8" t="n">
        <v>0.081326175275682</v>
      </c>
      <c r="H143" s="8" t="n">
        <v>0.0602688172043011</v>
      </c>
      <c r="I143" s="8" t="n">
        <v>0.125</v>
      </c>
      <c r="J143" s="8" t="n">
        <v>0.875</v>
      </c>
      <c r="K143" s="8" t="n">
        <v>35.6758032070821</v>
      </c>
    </row>
    <row r="144" customFormat="false" ht="15" hidden="false" customHeight="false" outlineLevel="0" collapsed="false">
      <c r="A144" s="6" t="s">
        <v>92</v>
      </c>
      <c r="B144" s="6" t="s">
        <v>235</v>
      </c>
      <c r="C144" s="8" t="n">
        <v>0.125</v>
      </c>
      <c r="D144" s="8" t="n">
        <v>0.183440860215054</v>
      </c>
      <c r="E144" s="8" t="n">
        <v>0.502305058893125</v>
      </c>
      <c r="F144" s="8" t="n">
        <v>0.0568690000957445</v>
      </c>
      <c r="G144" s="8" t="n">
        <v>0.0387515900417954</v>
      </c>
      <c r="H144" s="8" t="n">
        <v>0.0229301075268817</v>
      </c>
      <c r="I144" s="8" t="n">
        <v>0.125</v>
      </c>
      <c r="J144" s="8" t="n">
        <v>0.875</v>
      </c>
      <c r="K144" s="8" t="n">
        <v>40.652835335065</v>
      </c>
    </row>
    <row r="145" customFormat="false" ht="15" hidden="false" customHeight="false" outlineLevel="0" collapsed="false">
      <c r="A145" s="6" t="s">
        <v>92</v>
      </c>
      <c r="B145" s="6" t="s">
        <v>236</v>
      </c>
      <c r="C145" s="8" t="n">
        <v>0.125</v>
      </c>
      <c r="D145" s="8" t="n">
        <v>0.030752688172043</v>
      </c>
      <c r="E145" s="8" t="n">
        <v>0.502947495366398</v>
      </c>
      <c r="F145" s="8" t="n">
        <v>0.00183502374654795</v>
      </c>
      <c r="G145" s="8" t="n">
        <v>0.00745879407469226</v>
      </c>
      <c r="H145" s="8" t="n">
        <v>0.00384408602150538</v>
      </c>
      <c r="I145" s="8" t="n">
        <v>0.125</v>
      </c>
      <c r="J145" s="8" t="n">
        <v>0.875</v>
      </c>
      <c r="K145" s="8" t="n">
        <v>1053.10022499002</v>
      </c>
    </row>
    <row r="146" customFormat="false" ht="15" hidden="false" customHeight="false" outlineLevel="0" collapsed="false">
      <c r="A146" s="6" t="s">
        <v>92</v>
      </c>
      <c r="B146" s="6" t="s">
        <v>237</v>
      </c>
      <c r="C146" s="8" t="n">
        <v>0.122872339521188</v>
      </c>
      <c r="D146" s="8" t="n">
        <v>0.100430107526882</v>
      </c>
      <c r="E146" s="8" t="n">
        <v>0.498755818082265</v>
      </c>
      <c r="F146" s="8" t="n">
        <v>0.0262731088116907</v>
      </c>
      <c r="G146" s="8" t="n">
        <v>0.0309344609693465</v>
      </c>
      <c r="H146" s="8" t="n">
        <v>0.0243844997729073</v>
      </c>
      <c r="I146" s="8" t="n">
        <v>0.122872339521188</v>
      </c>
      <c r="J146" s="8" t="n">
        <v>0.874639296643343</v>
      </c>
      <c r="K146" s="8" t="n">
        <v>92706949230.548</v>
      </c>
    </row>
    <row r="147" customFormat="false" ht="15" hidden="false" customHeight="false" outlineLevel="0" collapsed="false">
      <c r="A147" s="6" t="s">
        <v>92</v>
      </c>
      <c r="B147" s="6" t="s">
        <v>238</v>
      </c>
      <c r="C147" s="8" t="n">
        <v>0.139516475040871</v>
      </c>
      <c r="D147" s="8" t="n">
        <v>0.158709677419355</v>
      </c>
      <c r="E147" s="8" t="n">
        <v>0.513116571131346</v>
      </c>
      <c r="F147" s="8" t="n">
        <v>0.175645264228447</v>
      </c>
      <c r="G147" s="8" t="n">
        <v>0.10707292035429</v>
      </c>
      <c r="H147" s="8" t="n">
        <v>0.140045676979333</v>
      </c>
      <c r="I147" s="8" t="n">
        <v>0.139516475040871</v>
      </c>
      <c r="J147" s="8" t="n">
        <v>0.87736604157475</v>
      </c>
      <c r="K147" s="8" t="n">
        <v>13.2559964392775</v>
      </c>
    </row>
    <row r="148" customFormat="false" ht="15" hidden="false" customHeight="false" outlineLevel="0" collapsed="false">
      <c r="A148" s="6" t="s">
        <v>92</v>
      </c>
      <c r="B148" s="6" t="s">
        <v>239</v>
      </c>
      <c r="C148" s="8" t="n">
        <v>0.127663594173983</v>
      </c>
      <c r="D148" s="8" t="n">
        <v>0.155913978494624</v>
      </c>
      <c r="E148" s="8" t="n">
        <v>0.504919190928228</v>
      </c>
      <c r="F148" s="8" t="n">
        <v>0.176752718523504</v>
      </c>
      <c r="G148" s="8" t="n">
        <v>0.101150544024126</v>
      </c>
      <c r="H148" s="8" t="n">
        <v>0.138382559244876</v>
      </c>
      <c r="I148" s="8" t="n">
        <v>0.127663594173983</v>
      </c>
      <c r="J148" s="8" t="n">
        <v>0.877817288222068</v>
      </c>
      <c r="K148" s="8" t="n">
        <v>13.3104611473186</v>
      </c>
    </row>
    <row r="149" customFormat="false" ht="15" hidden="false" customHeight="false" outlineLevel="0" collapsed="false">
      <c r="A149" s="6" t="s">
        <v>92</v>
      </c>
      <c r="B149" s="6" t="s">
        <v>240</v>
      </c>
      <c r="C149" s="8" t="n">
        <v>0.154814235408879</v>
      </c>
      <c r="D149" s="8" t="n">
        <v>0.170967741935484</v>
      </c>
      <c r="E149" s="8" t="n">
        <v>0.541440740669793</v>
      </c>
      <c r="F149" s="8" t="n">
        <v>0.190715393355838</v>
      </c>
      <c r="G149" s="8" t="n">
        <v>0.117131051594515</v>
      </c>
      <c r="H149" s="8" t="n">
        <v>0.153621684634477</v>
      </c>
      <c r="I149" s="8" t="n">
        <v>0.154814235408879</v>
      </c>
      <c r="J149" s="8" t="n">
        <v>0.879944785964794</v>
      </c>
      <c r="K149" s="8" t="n">
        <v>13.1256190816818</v>
      </c>
    </row>
    <row r="150" customFormat="false" ht="15" hidden="false" customHeight="false" outlineLevel="0" collapsed="false">
      <c r="A150" s="6" t="s">
        <v>92</v>
      </c>
      <c r="B150" s="6" t="s">
        <v>241</v>
      </c>
      <c r="C150" s="8" t="n">
        <v>0.188222550316787</v>
      </c>
      <c r="D150" s="8" t="n">
        <v>0.223225806451613</v>
      </c>
      <c r="E150" s="8" t="n">
        <v>0.584878168602649</v>
      </c>
      <c r="F150" s="8" t="n">
        <v>0.250343825746641</v>
      </c>
      <c r="G150" s="8" t="n">
        <v>0.148943347770315</v>
      </c>
      <c r="H150" s="8" t="n">
        <v>0.179416268156835</v>
      </c>
      <c r="I150" s="8" t="n">
        <v>0.188222550316787</v>
      </c>
      <c r="J150" s="8" t="n">
        <v>0.885711106033248</v>
      </c>
      <c r="K150" s="8" t="n">
        <v>12.9037440646592</v>
      </c>
    </row>
    <row r="151" customFormat="false" ht="15" hidden="false" customHeight="false" outlineLevel="0" collapsed="false">
      <c r="A151" s="6" t="s">
        <v>92</v>
      </c>
      <c r="B151" s="6" t="s">
        <v>242</v>
      </c>
      <c r="C151" s="8" t="n">
        <v>0.309506185541889</v>
      </c>
      <c r="D151" s="8" t="n">
        <v>0.336344086021505</v>
      </c>
      <c r="E151" s="8" t="n">
        <v>0.718644313321266</v>
      </c>
      <c r="F151" s="8" t="n">
        <v>0.37723876687616</v>
      </c>
      <c r="G151" s="8" t="n">
        <v>0.230740163377516</v>
      </c>
      <c r="H151" s="8" t="n">
        <v>0.246499421203095</v>
      </c>
      <c r="I151" s="8" t="n">
        <v>0.309506185541889</v>
      </c>
      <c r="J151" s="8" t="n">
        <v>0.902225761213951</v>
      </c>
      <c r="K151" s="8" t="n">
        <v>11.8428627710958</v>
      </c>
    </row>
    <row r="152" customFormat="false" ht="15" hidden="false" customHeight="false" outlineLevel="0" collapsed="false">
      <c r="A152" s="6" t="s">
        <v>92</v>
      </c>
      <c r="B152" s="6" t="s">
        <v>243</v>
      </c>
      <c r="C152" s="8" t="n">
        <v>0.444015281180303</v>
      </c>
      <c r="D152" s="8" t="n">
        <v>0.468172043010753</v>
      </c>
      <c r="E152" s="8" t="n">
        <v>0.82151349860124</v>
      </c>
      <c r="F152" s="8" t="n">
        <v>0.503764763044461</v>
      </c>
      <c r="G152" s="8" t="n">
        <v>0.320467309783293</v>
      </c>
      <c r="H152" s="8" t="n">
        <v>0.316102687433322</v>
      </c>
      <c r="I152" s="8" t="n">
        <v>0.444015281180303</v>
      </c>
      <c r="J152" s="8" t="n">
        <v>0.920054656682303</v>
      </c>
      <c r="K152" s="8" t="n">
        <v>9.11751707784591</v>
      </c>
    </row>
    <row r="153" customFormat="false" ht="15" hidden="false" customHeight="false" outlineLevel="0" collapsed="false">
      <c r="A153" s="6" t="s">
        <v>92</v>
      </c>
      <c r="B153" s="6" t="s">
        <v>244</v>
      </c>
      <c r="C153" s="8" t="n">
        <v>0.519619037453619</v>
      </c>
      <c r="D153" s="8" t="n">
        <v>0.546666666666667</v>
      </c>
      <c r="E153" s="8" t="n">
        <v>0.866165809552167</v>
      </c>
      <c r="F153" s="8" t="n">
        <v>0.571058037462944</v>
      </c>
      <c r="G153" s="8" t="n">
        <v>0.391990151698363</v>
      </c>
      <c r="H153" s="8" t="n">
        <v>0.37348975079951</v>
      </c>
      <c r="I153" s="8" t="n">
        <v>0.519619037453619</v>
      </c>
      <c r="J153" s="8" t="n">
        <v>0.930036408489402</v>
      </c>
      <c r="K153" s="8" t="n">
        <v>6.83030848777422</v>
      </c>
    </row>
    <row r="154" customFormat="false" ht="15" hidden="false" customHeight="false" outlineLevel="0" collapsed="false">
      <c r="A154" s="6" t="s">
        <v>92</v>
      </c>
      <c r="B154" s="6" t="s">
        <v>245</v>
      </c>
      <c r="C154" s="8" t="n">
        <v>0.131326370252476</v>
      </c>
      <c r="D154" s="8" t="n">
        <v>0.0344086021505376</v>
      </c>
      <c r="E154" s="8" t="n">
        <v>0.495973611635458</v>
      </c>
      <c r="F154" s="8" t="n">
        <v>0.0229173586063267</v>
      </c>
      <c r="G154" s="8" t="n">
        <v>0.0251400867774267</v>
      </c>
      <c r="H154" s="8" t="n">
        <v>0.045347058211543</v>
      </c>
      <c r="I154" s="8" t="n">
        <v>0.131326370252476</v>
      </c>
      <c r="J154" s="8" t="n">
        <v>0.874797159280027</v>
      </c>
      <c r="K154" s="8" t="n">
        <v>1717.77315531413</v>
      </c>
    </row>
    <row r="155" customFormat="false" ht="15" hidden="false" customHeight="false" outlineLevel="0" collapsed="false">
      <c r="A155" s="6" t="s">
        <v>92</v>
      </c>
      <c r="B155" s="6" t="s">
        <v>246</v>
      </c>
      <c r="C155" s="8" t="n">
        <v>0.114274812448244</v>
      </c>
      <c r="D155" s="8" t="n">
        <v>0.114193548387097</v>
      </c>
      <c r="E155" s="8" t="n">
        <v>0.49323244605772</v>
      </c>
      <c r="F155" s="8" t="n">
        <v>0.129313122116664</v>
      </c>
      <c r="G155" s="8" t="n">
        <v>0.0873813495284479</v>
      </c>
      <c r="H155" s="8" t="n">
        <v>0.125789903032804</v>
      </c>
      <c r="I155" s="8" t="n">
        <v>0.114274812448244</v>
      </c>
      <c r="J155" s="8" t="n">
        <v>0.875093354668319</v>
      </c>
      <c r="K155" s="8" t="n">
        <v>13.3474607933721</v>
      </c>
    </row>
    <row r="156" customFormat="false" ht="15" hidden="false" customHeight="false" outlineLevel="0" collapsed="false">
      <c r="A156" s="6" t="s">
        <v>92</v>
      </c>
      <c r="B156" s="6" t="s">
        <v>247</v>
      </c>
      <c r="C156" s="8" t="n">
        <v>0.129801300666592</v>
      </c>
      <c r="D156" s="8" t="n">
        <v>0.154623655913979</v>
      </c>
      <c r="E156" s="8" t="n">
        <v>0.519927997983941</v>
      </c>
      <c r="F156" s="8" t="n">
        <v>0.189062501944827</v>
      </c>
      <c r="G156" s="8" t="n">
        <v>0.106498121491485</v>
      </c>
      <c r="H156" s="8" t="n">
        <v>0.145184687828459</v>
      </c>
      <c r="I156" s="8" t="n">
        <v>0.129801300666592</v>
      </c>
      <c r="J156" s="8" t="n">
        <v>0.879128349574085</v>
      </c>
      <c r="K156" s="8" t="n">
        <v>13.2386503535445</v>
      </c>
    </row>
    <row r="157" customFormat="false" ht="15" hidden="false" customHeight="false" outlineLevel="0" collapsed="false">
      <c r="A157" s="6" t="s">
        <v>92</v>
      </c>
      <c r="B157" s="6" t="s">
        <v>248</v>
      </c>
      <c r="C157" s="8" t="n">
        <v>0.162895250047226</v>
      </c>
      <c r="D157" s="8" t="n">
        <v>0.179139784946237</v>
      </c>
      <c r="E157" s="8" t="n">
        <v>0.559725876448952</v>
      </c>
      <c r="F157" s="8" t="n">
        <v>0.196166327237936</v>
      </c>
      <c r="G157" s="8" t="n">
        <v>0.123605284318784</v>
      </c>
      <c r="H157" s="8" t="n">
        <v>0.16610284758001</v>
      </c>
      <c r="I157" s="8" t="n">
        <v>0.162895250047226</v>
      </c>
      <c r="J157" s="8" t="n">
        <v>0.881854488105856</v>
      </c>
      <c r="K157" s="8" t="n">
        <v>13.0413672641016</v>
      </c>
    </row>
    <row r="158" customFormat="false" ht="15" hidden="false" customHeight="false" outlineLevel="0" collapsed="false">
      <c r="A158" s="6" t="s">
        <v>92</v>
      </c>
      <c r="B158" s="6" t="s">
        <v>249</v>
      </c>
      <c r="C158" s="8" t="n">
        <v>0.264657039948987</v>
      </c>
      <c r="D158" s="8" t="n">
        <v>0.277204301075269</v>
      </c>
      <c r="E158" s="8" t="n">
        <v>0.668279836770804</v>
      </c>
      <c r="F158" s="8" t="n">
        <v>0.317663595665655</v>
      </c>
      <c r="G158" s="8" t="n">
        <v>0.197158717485078</v>
      </c>
      <c r="H158" s="8" t="n">
        <v>0.217097945876069</v>
      </c>
      <c r="I158" s="8" t="n">
        <v>0.264657039948987</v>
      </c>
      <c r="J158" s="8" t="n">
        <v>0.894421123029911</v>
      </c>
      <c r="K158" s="8" t="n">
        <v>12.4008407666606</v>
      </c>
    </row>
    <row r="159" customFormat="false" ht="15" hidden="false" customHeight="false" outlineLevel="0" collapsed="false">
      <c r="A159" s="6" t="s">
        <v>92</v>
      </c>
      <c r="B159" s="6" t="s">
        <v>250</v>
      </c>
      <c r="C159" s="8" t="n">
        <v>0.421121635196508</v>
      </c>
      <c r="D159" s="8" t="n">
        <v>0.425161290322581</v>
      </c>
      <c r="E159" s="8" t="n">
        <v>0.795308448588161</v>
      </c>
      <c r="F159" s="8" t="n">
        <v>0.465011552991549</v>
      </c>
      <c r="G159" s="8" t="n">
        <v>0.30696540414605</v>
      </c>
      <c r="H159" s="8" t="n">
        <v>0.30043990609596</v>
      </c>
      <c r="I159" s="8" t="n">
        <v>0.421121635196508</v>
      </c>
      <c r="J159" s="8" t="n">
        <v>0.914891042086504</v>
      </c>
      <c r="K159" s="8" t="n">
        <v>10.3122060923423</v>
      </c>
    </row>
    <row r="160" customFormat="false" ht="15" hidden="false" customHeight="false" outlineLevel="0" collapsed="false">
      <c r="A160" s="6" t="s">
        <v>92</v>
      </c>
      <c r="B160" s="6" t="s">
        <v>251</v>
      </c>
      <c r="C160" s="8" t="n">
        <v>0.505975705570374</v>
      </c>
      <c r="D160" s="8" t="n">
        <v>0.540430107526882</v>
      </c>
      <c r="E160" s="8" t="n">
        <v>0.865728277855926</v>
      </c>
      <c r="F160" s="8" t="n">
        <v>0.564905753853224</v>
      </c>
      <c r="G160" s="8" t="n">
        <v>0.379817098255882</v>
      </c>
      <c r="H160" s="8" t="n">
        <v>0.366483057813255</v>
      </c>
      <c r="I160" s="8" t="n">
        <v>0.505975705570374</v>
      </c>
      <c r="J160" s="8" t="n">
        <v>0.929067365421873</v>
      </c>
      <c r="K160" s="8" t="n">
        <v>6.8584150608637</v>
      </c>
    </row>
    <row r="161" customFormat="false" ht="15" hidden="false" customHeight="false" outlineLevel="0" collapsed="false">
      <c r="A161" s="6" t="s">
        <v>92</v>
      </c>
      <c r="B161" s="6" t="s">
        <v>252</v>
      </c>
      <c r="C161" s="8" t="n">
        <v>0.605060086382901</v>
      </c>
      <c r="D161" s="8" t="n">
        <v>0.579139784946237</v>
      </c>
      <c r="E161" s="8" t="n">
        <v>0.89390995613854</v>
      </c>
      <c r="F161" s="8" t="n">
        <v>0.601127461116284</v>
      </c>
      <c r="G161" s="8" t="n">
        <v>0.45766497266288</v>
      </c>
      <c r="H161" s="8" t="n">
        <v>0.426148556784801</v>
      </c>
      <c r="I161" s="8" t="n">
        <v>0.605060086382901</v>
      </c>
      <c r="J161" s="8" t="n">
        <v>0.935705384491562</v>
      </c>
      <c r="K161" s="8" t="n">
        <v>5.35434760116762</v>
      </c>
    </row>
    <row r="162" customFormat="false" ht="15" hidden="false" customHeight="false" outlineLevel="0" collapsed="false">
      <c r="A162" s="6" t="s">
        <v>92</v>
      </c>
      <c r="B162" s="6" t="s">
        <v>253</v>
      </c>
      <c r="C162" s="8" t="n">
        <v>0.125</v>
      </c>
      <c r="D162" s="8" t="n">
        <v>0.482150537634409</v>
      </c>
      <c r="E162" s="8" t="n">
        <v>0.5</v>
      </c>
      <c r="F162" s="8" t="n">
        <v>0.313691673063362</v>
      </c>
      <c r="G162" s="8" t="n">
        <v>0.081326175275682</v>
      </c>
      <c r="H162" s="8" t="n">
        <v>0.0602688172043011</v>
      </c>
      <c r="I162" s="8" t="n">
        <v>0.125</v>
      </c>
      <c r="J162" s="8" t="n">
        <v>0.875</v>
      </c>
      <c r="K162" s="8" t="n">
        <v>89470973.5032258</v>
      </c>
    </row>
    <row r="163" customFormat="false" ht="15" hidden="false" customHeight="false" outlineLevel="0" collapsed="false">
      <c r="A163" s="6" t="s">
        <v>92</v>
      </c>
      <c r="B163" s="6" t="s">
        <v>254</v>
      </c>
      <c r="C163" s="8" t="n">
        <v>0.125430635501213</v>
      </c>
      <c r="D163" s="8" t="n">
        <v>0.103010752688172</v>
      </c>
      <c r="E163" s="8" t="n">
        <v>0.509971282429396</v>
      </c>
      <c r="F163" s="8" t="n">
        <v>0.0890629229914939</v>
      </c>
      <c r="G163" s="8" t="n">
        <v>0.0787520889290654</v>
      </c>
      <c r="H163" s="8" t="n">
        <v>0.135999156023596</v>
      </c>
      <c r="I163" s="8" t="n">
        <v>0.125430635501213</v>
      </c>
      <c r="J163" s="8" t="n">
        <v>0.876968142816593</v>
      </c>
      <c r="K163" s="8" t="n">
        <v>13.3426435166021</v>
      </c>
    </row>
    <row r="164" customFormat="false" ht="15" hidden="false" customHeight="false" outlineLevel="0" collapsed="false">
      <c r="A164" s="6" t="s">
        <v>92</v>
      </c>
      <c r="B164" s="6" t="s">
        <v>255</v>
      </c>
      <c r="C164" s="8" t="n">
        <v>0.137558098768905</v>
      </c>
      <c r="D164" s="8" t="n">
        <v>0.12258064516129</v>
      </c>
      <c r="E164" s="8" t="n">
        <v>0.519554571224471</v>
      </c>
      <c r="F164" s="8" t="n">
        <v>0.146560363561873</v>
      </c>
      <c r="G164" s="8" t="n">
        <v>0.0957551581472771</v>
      </c>
      <c r="H164" s="8" t="n">
        <v>0.140475109253697</v>
      </c>
      <c r="I164" s="8" t="n">
        <v>0.137558098768905</v>
      </c>
      <c r="J164" s="8" t="n">
        <v>0.877394768852534</v>
      </c>
      <c r="K164" s="8" t="n">
        <v>13.2419203174755</v>
      </c>
    </row>
    <row r="165" customFormat="false" ht="15" hidden="false" customHeight="false" outlineLevel="0" collapsed="false">
      <c r="A165" s="6" t="s">
        <v>92</v>
      </c>
      <c r="B165" s="6" t="s">
        <v>256</v>
      </c>
      <c r="C165" s="8" t="n">
        <v>0.158108698264319</v>
      </c>
      <c r="D165" s="8" t="n">
        <v>0.14236559139785</v>
      </c>
      <c r="E165" s="8" t="n">
        <v>0.544688756712694</v>
      </c>
      <c r="F165" s="8" t="n">
        <v>0.158386827859298</v>
      </c>
      <c r="G165" s="8" t="n">
        <v>0.108275112450445</v>
      </c>
      <c r="H165" s="8" t="n">
        <v>0.156760883031025</v>
      </c>
      <c r="I165" s="8" t="n">
        <v>0.158108698264319</v>
      </c>
      <c r="J165" s="8" t="n">
        <v>0.880129427258354</v>
      </c>
      <c r="K165" s="8" t="n">
        <v>13.1458232907839</v>
      </c>
    </row>
    <row r="166" customFormat="false" ht="15" hidden="false" customHeight="false" outlineLevel="0" collapsed="false">
      <c r="A166" s="6" t="s">
        <v>92</v>
      </c>
      <c r="B166" s="6" t="s">
        <v>257</v>
      </c>
      <c r="C166" s="8" t="n">
        <v>0.229732129075686</v>
      </c>
      <c r="D166" s="8" t="n">
        <v>0.216344086021505</v>
      </c>
      <c r="E166" s="8" t="n">
        <v>0.65824627437778</v>
      </c>
      <c r="F166" s="8" t="n">
        <v>0.25641510847649</v>
      </c>
      <c r="G166" s="8" t="n">
        <v>0.159485680178034</v>
      </c>
      <c r="H166" s="8" t="n">
        <v>0.197842771244022</v>
      </c>
      <c r="I166" s="8" t="n">
        <v>0.229732129075686</v>
      </c>
      <c r="J166" s="8" t="n">
        <v>0.888929907943144</v>
      </c>
      <c r="K166" s="8" t="n">
        <v>12.6121668531049</v>
      </c>
    </row>
    <row r="167" customFormat="false" ht="15" hidden="false" customHeight="false" outlineLevel="0" collapsed="false">
      <c r="A167" s="6" t="s">
        <v>92</v>
      </c>
      <c r="B167" s="6" t="s">
        <v>258</v>
      </c>
      <c r="C167" s="8" t="n">
        <v>0.459262709674088</v>
      </c>
      <c r="D167" s="8" t="n">
        <v>0.463655913978495</v>
      </c>
      <c r="E167" s="8" t="n">
        <v>0.812370578096818</v>
      </c>
      <c r="F167" s="8" t="n">
        <v>0.498324094145206</v>
      </c>
      <c r="G167" s="8" t="n">
        <v>0.331613097325892</v>
      </c>
      <c r="H167" s="8" t="n">
        <v>0.320927393118812</v>
      </c>
      <c r="I167" s="8" t="n">
        <v>0.459262709674088</v>
      </c>
      <c r="J167" s="8" t="n">
        <v>0.918679344798163</v>
      </c>
      <c r="K167" s="8" t="n">
        <v>9.94887700255199</v>
      </c>
    </row>
    <row r="168" customFormat="false" ht="15" hidden="false" customHeight="false" outlineLevel="0" collapsed="false">
      <c r="A168" s="6" t="s">
        <v>92</v>
      </c>
      <c r="B168" s="6" t="s">
        <v>259</v>
      </c>
      <c r="C168" s="8" t="n">
        <v>0.575347762386486</v>
      </c>
      <c r="D168" s="8" t="n">
        <v>0.601935483870968</v>
      </c>
      <c r="E168" s="8" t="n">
        <v>0.887427773866104</v>
      </c>
      <c r="F168" s="8" t="n">
        <v>0.618555125834387</v>
      </c>
      <c r="G168" s="8" t="n">
        <v>0.443276493186472</v>
      </c>
      <c r="H168" s="8" t="n">
        <v>0.420128614598293</v>
      </c>
      <c r="I168" s="8" t="n">
        <v>0.575347762386486</v>
      </c>
      <c r="J168" s="8" t="n">
        <v>0.936727922625556</v>
      </c>
      <c r="K168" s="8" t="n">
        <v>5.93418786195017</v>
      </c>
    </row>
    <row r="169" customFormat="false" ht="15" hidden="false" customHeight="false" outlineLevel="0" collapsed="false">
      <c r="A169" s="6" t="s">
        <v>92</v>
      </c>
      <c r="B169" s="6" t="s">
        <v>260</v>
      </c>
      <c r="C169" s="8" t="n">
        <v>0.599086463906679</v>
      </c>
      <c r="D169" s="8" t="n">
        <v>0.509677419354839</v>
      </c>
      <c r="E169" s="8" t="n">
        <v>0.899908220908053</v>
      </c>
      <c r="F169" s="8" t="n">
        <v>0.529485777496878</v>
      </c>
      <c r="G169" s="8" t="n">
        <v>0.47074218661533</v>
      </c>
      <c r="H169" s="8" t="n">
        <v>0.45025371986507</v>
      </c>
      <c r="I169" s="8" t="n">
        <v>0.599086463906679</v>
      </c>
      <c r="J169" s="8" t="n">
        <v>0.927396545505871</v>
      </c>
      <c r="K169" s="8" t="n">
        <v>5.26518710664524</v>
      </c>
    </row>
    <row r="170" customFormat="false" ht="15" hidden="false" customHeight="false" outlineLevel="0" collapsed="false">
      <c r="A170" s="6" t="s">
        <v>92</v>
      </c>
      <c r="B170" s="6" t="s">
        <v>261</v>
      </c>
      <c r="C170" s="8" t="n">
        <v>0.125</v>
      </c>
      <c r="D170" s="8" t="n">
        <v>0.0333333333333333</v>
      </c>
      <c r="E170" s="8" t="n">
        <v>0.5</v>
      </c>
      <c r="F170" s="8" t="n">
        <v>0.0021505376344086</v>
      </c>
      <c r="G170" s="8" t="n">
        <v>0.00806451612903226</v>
      </c>
      <c r="H170" s="8" t="n">
        <v>0.00416666666666667</v>
      </c>
      <c r="I170" s="8" t="n">
        <v>0.125</v>
      </c>
      <c r="J170" s="8" t="n">
        <v>0.875</v>
      </c>
      <c r="K170" s="8" t="n">
        <v>5948307.46400538</v>
      </c>
    </row>
    <row r="171" customFormat="false" ht="15" hidden="false" customHeight="false" outlineLevel="0" collapsed="false">
      <c r="A171" s="6" t="s">
        <v>92</v>
      </c>
      <c r="B171" s="6" t="s">
        <v>262</v>
      </c>
      <c r="C171" s="8" t="n">
        <v>0.145336329465784</v>
      </c>
      <c r="D171" s="8" t="n">
        <v>0.42494623655914</v>
      </c>
      <c r="E171" s="8" t="n">
        <v>0.529093423875878</v>
      </c>
      <c r="F171" s="8" t="n">
        <v>0.333523073336826</v>
      </c>
      <c r="G171" s="8" t="n">
        <v>0.110001267506796</v>
      </c>
      <c r="H171" s="8" t="n">
        <v>0.0992580657754938</v>
      </c>
      <c r="I171" s="8" t="n">
        <v>0.145336329465784</v>
      </c>
      <c r="J171" s="8" t="n">
        <v>0.885675675918527</v>
      </c>
      <c r="K171" s="8" t="n">
        <v>13.3392824109395</v>
      </c>
    </row>
    <row r="172" customFormat="false" ht="15" hidden="false" customHeight="false" outlineLevel="0" collapsed="false">
      <c r="A172" s="6" t="s">
        <v>92</v>
      </c>
      <c r="B172" s="6" t="s">
        <v>263</v>
      </c>
      <c r="C172" s="8" t="n">
        <v>0.123080963154493</v>
      </c>
      <c r="D172" s="8" t="n">
        <v>0.0131182795698925</v>
      </c>
      <c r="E172" s="8" t="n">
        <v>0.506320849227518</v>
      </c>
      <c r="F172" s="8" t="n">
        <v>0.00357010393207938</v>
      </c>
      <c r="G172" s="8" t="n">
        <v>0.0068338249754179</v>
      </c>
      <c r="H172" s="8" t="n">
        <v>0.00821205659234988</v>
      </c>
      <c r="I172" s="8" t="n">
        <v>0.123080963154493</v>
      </c>
      <c r="J172" s="8" t="n">
        <v>0.874717213667408</v>
      </c>
      <c r="K172" s="8" t="n">
        <v>13.2350535252274</v>
      </c>
    </row>
    <row r="173" customFormat="false" ht="15" hidden="false" customHeight="false" outlineLevel="0" collapsed="false">
      <c r="A173" s="6" t="s">
        <v>92</v>
      </c>
      <c r="B173" s="6" t="s">
        <v>264</v>
      </c>
      <c r="C173" s="8" t="n">
        <v>0.0875434508960624</v>
      </c>
      <c r="D173" s="8" t="n">
        <v>0.119139784946237</v>
      </c>
      <c r="E173" s="8" t="n">
        <v>0.505179327918159</v>
      </c>
      <c r="F173" s="8" t="n">
        <v>0.148206342647093</v>
      </c>
      <c r="G173" s="8" t="n">
        <v>0.0675870532987701</v>
      </c>
      <c r="H173" s="8" t="n">
        <v>0.11327160027628</v>
      </c>
      <c r="I173" s="8" t="n">
        <v>0.0875434508960624</v>
      </c>
      <c r="J173" s="8" t="n">
        <v>0.864577958841414</v>
      </c>
      <c r="K173" s="8" t="n">
        <v>13.2472532508707</v>
      </c>
    </row>
    <row r="174" customFormat="false" ht="15" hidden="false" customHeight="false" outlineLevel="0" collapsed="false">
      <c r="A174" s="6" t="s">
        <v>92</v>
      </c>
      <c r="B174" s="6" t="s">
        <v>265</v>
      </c>
      <c r="C174" s="8" t="n">
        <v>0.115099241493914</v>
      </c>
      <c r="D174" s="8" t="n">
        <v>0.404731182795699</v>
      </c>
      <c r="E174" s="8" t="n">
        <v>0.507728787085516</v>
      </c>
      <c r="F174" s="8" t="n">
        <v>0.314120749638855</v>
      </c>
      <c r="G174" s="8" t="n">
        <v>0.0837991703241933</v>
      </c>
      <c r="H174" s="8" t="n">
        <v>0.0838218826946849</v>
      </c>
      <c r="I174" s="8" t="n">
        <v>0.115099241493914</v>
      </c>
      <c r="J174" s="8" t="n">
        <v>0.883021994800997</v>
      </c>
      <c r="K174" s="8" t="n">
        <v>13.2424398949839</v>
      </c>
    </row>
    <row r="175" customFormat="false" ht="15" hidden="false" customHeight="false" outlineLevel="0" collapsed="false">
      <c r="A175" s="6" t="s">
        <v>92</v>
      </c>
      <c r="B175" s="6" t="s">
        <v>266</v>
      </c>
      <c r="C175" s="8" t="n">
        <v>0.196553015688047</v>
      </c>
      <c r="D175" s="8" t="n">
        <v>0.236559139784946</v>
      </c>
      <c r="E175" s="8" t="n">
        <v>0.652800994190655</v>
      </c>
      <c r="F175" s="8" t="n">
        <v>0.294648587320895</v>
      </c>
      <c r="G175" s="8" t="n">
        <v>0.130382882246208</v>
      </c>
      <c r="H175" s="8" t="n">
        <v>0.298529436206853</v>
      </c>
      <c r="I175" s="8" t="n">
        <v>0.196553015688047</v>
      </c>
      <c r="J175" s="8" t="n">
        <v>0.894068158923824</v>
      </c>
      <c r="K175" s="8" t="n">
        <v>12.7219778734125</v>
      </c>
    </row>
    <row r="176" customFormat="false" ht="15" hidden="false" customHeight="false" outlineLevel="0" collapsed="false">
      <c r="A176" s="6" t="s">
        <v>92</v>
      </c>
      <c r="B176" s="6" t="s">
        <v>267</v>
      </c>
      <c r="C176" s="8" t="n">
        <v>0.51888133047213</v>
      </c>
      <c r="D176" s="8" t="n">
        <v>0.512043010752688</v>
      </c>
      <c r="E176" s="8" t="n">
        <v>0.859542919892261</v>
      </c>
      <c r="F176" s="8" t="n">
        <v>0.54806657747764</v>
      </c>
      <c r="G176" s="8" t="n">
        <v>0.367799914557699</v>
      </c>
      <c r="H176" s="8" t="n">
        <v>0.397759559414194</v>
      </c>
      <c r="I176" s="8" t="n">
        <v>0.51888133047213</v>
      </c>
      <c r="J176" s="8" t="n">
        <v>0.924592564182026</v>
      </c>
      <c r="K176" s="8" t="n">
        <v>7.29945601852991</v>
      </c>
    </row>
    <row r="177" customFormat="false" ht="15" hidden="false" customHeight="false" outlineLevel="0" collapsed="false">
      <c r="A177" s="6" t="s">
        <v>92</v>
      </c>
      <c r="B177" s="6" t="s">
        <v>268</v>
      </c>
      <c r="C177" s="8" t="n">
        <v>0.481020528224918</v>
      </c>
      <c r="D177" s="8" t="n">
        <v>0.548387096774194</v>
      </c>
      <c r="E177" s="8" t="n">
        <v>0.865062657830833</v>
      </c>
      <c r="F177" s="8" t="n">
        <v>0.560816445060834</v>
      </c>
      <c r="G177" s="8" t="n">
        <v>0.399434693960248</v>
      </c>
      <c r="H177" s="8" t="n">
        <v>0.388127914043357</v>
      </c>
      <c r="I177" s="8" t="n">
        <v>0.481020528224918</v>
      </c>
      <c r="J177" s="8" t="n">
        <v>0.926099054473231</v>
      </c>
      <c r="K177" s="8" t="n">
        <v>7.92262135016021</v>
      </c>
    </row>
    <row r="178" customFormat="false" ht="15" hidden="false" customHeight="false" outlineLevel="0" collapsed="false">
      <c r="A178" s="6" t="s">
        <v>92</v>
      </c>
      <c r="B178" s="6" t="s">
        <v>269</v>
      </c>
      <c r="C178" s="8" t="n">
        <v>0.14134463132434</v>
      </c>
      <c r="D178" s="8" t="n">
        <v>0.148602150537634</v>
      </c>
      <c r="E178" s="8" t="n">
        <v>0.520973013930456</v>
      </c>
      <c r="F178" s="8" t="n">
        <v>0.0577136709699952</v>
      </c>
      <c r="G178" s="8" t="n">
        <v>0.0555245303550154</v>
      </c>
      <c r="H178" s="8" t="n">
        <v>0.0346082748555298</v>
      </c>
      <c r="I178" s="8" t="n">
        <v>0.14134463132434</v>
      </c>
      <c r="J178" s="8" t="n">
        <v>0.877825153484395</v>
      </c>
      <c r="K178" s="8" t="n">
        <v>677.181706188571</v>
      </c>
    </row>
    <row r="179" customFormat="false" ht="15" hidden="false" customHeight="false" outlineLevel="0" collapsed="false">
      <c r="A179" s="6" t="s">
        <v>92</v>
      </c>
      <c r="B179" s="6" t="s">
        <v>270</v>
      </c>
      <c r="C179" s="8" t="n">
        <v>0.125</v>
      </c>
      <c r="D179" s="8" t="n">
        <v>0.482150537634409</v>
      </c>
      <c r="E179" s="8" t="n">
        <v>0.492529228311808</v>
      </c>
      <c r="F179" s="8" t="n">
        <v>0.313691673063362</v>
      </c>
      <c r="G179" s="8" t="n">
        <v>0.081326175275682</v>
      </c>
      <c r="H179" s="8" t="n">
        <v>0.0602688172043011</v>
      </c>
      <c r="I179" s="8" t="n">
        <v>0.125</v>
      </c>
      <c r="J179" s="8" t="n">
        <v>0.875</v>
      </c>
      <c r="K179" s="8" t="n">
        <v>13.2980989871999</v>
      </c>
    </row>
    <row r="180" customFormat="false" ht="15" hidden="false" customHeight="false" outlineLevel="0" collapsed="false">
      <c r="A180" s="6" t="s">
        <v>92</v>
      </c>
      <c r="B180" s="6" t="s">
        <v>271</v>
      </c>
      <c r="C180" s="8" t="n">
        <v>0.125</v>
      </c>
      <c r="D180" s="8" t="n">
        <v>0.482150537634409</v>
      </c>
      <c r="E180" s="8" t="n">
        <v>0.484149152203605</v>
      </c>
      <c r="F180" s="8" t="n">
        <v>0.313691673063362</v>
      </c>
      <c r="G180" s="8" t="n">
        <v>0.081326175275682</v>
      </c>
      <c r="H180" s="8" t="n">
        <v>0.0602688172043011</v>
      </c>
      <c r="I180" s="8" t="n">
        <v>0.125</v>
      </c>
      <c r="J180" s="8" t="n">
        <v>0.875</v>
      </c>
      <c r="K180" s="8" t="n">
        <v>13.3429108219762</v>
      </c>
    </row>
    <row r="181" customFormat="false" ht="15" hidden="false" customHeight="false" outlineLevel="0" collapsed="false">
      <c r="A181" s="6" t="s">
        <v>92</v>
      </c>
      <c r="B181" s="6" t="s">
        <v>272</v>
      </c>
      <c r="C181" s="8" t="n">
        <v>0.125</v>
      </c>
      <c r="D181" s="8" t="n">
        <v>0.482150537634409</v>
      </c>
      <c r="E181" s="8" t="n">
        <v>0.505181709263306</v>
      </c>
      <c r="F181" s="8" t="n">
        <v>0.313691673063362</v>
      </c>
      <c r="G181" s="8" t="n">
        <v>0.081326175275682</v>
      </c>
      <c r="H181" s="8" t="n">
        <v>0.0602688172043011</v>
      </c>
      <c r="I181" s="8" t="n">
        <v>0.125</v>
      </c>
      <c r="J181" s="8" t="n">
        <v>0.875</v>
      </c>
      <c r="K181" s="8" t="n">
        <v>13.9012905340554</v>
      </c>
    </row>
    <row r="182" customFormat="false" ht="15" hidden="false" customHeight="false" outlineLevel="0" collapsed="false">
      <c r="A182" s="6" t="s">
        <v>92</v>
      </c>
      <c r="B182" s="6" t="s">
        <v>273</v>
      </c>
      <c r="C182" s="8" t="n">
        <v>0.125</v>
      </c>
      <c r="D182" s="8" t="n">
        <v>0.482150537634409</v>
      </c>
      <c r="E182" s="8" t="n">
        <v>0.518507985673437</v>
      </c>
      <c r="F182" s="8" t="n">
        <v>0.313691673063362</v>
      </c>
      <c r="G182" s="8" t="n">
        <v>0.081326175275682</v>
      </c>
      <c r="H182" s="8" t="n">
        <v>0.0602688172043011</v>
      </c>
      <c r="I182" s="8" t="n">
        <v>0.125</v>
      </c>
      <c r="J182" s="8" t="n">
        <v>0.875</v>
      </c>
      <c r="K182" s="8" t="n">
        <v>23.5431913958907</v>
      </c>
    </row>
    <row r="183" customFormat="false" ht="15" hidden="false" customHeight="false" outlineLevel="0" collapsed="false">
      <c r="A183" s="6" t="s">
        <v>92</v>
      </c>
      <c r="B183" s="6" t="s">
        <v>274</v>
      </c>
      <c r="C183" s="8" t="n">
        <v>0.125</v>
      </c>
      <c r="D183" s="8" t="n">
        <v>0.482150537634409</v>
      </c>
      <c r="E183" s="8" t="n">
        <v>0.504762049083542</v>
      </c>
      <c r="F183" s="8" t="n">
        <v>0.313691673063362</v>
      </c>
      <c r="G183" s="8" t="n">
        <v>0.081326175275682</v>
      </c>
      <c r="H183" s="8" t="n">
        <v>0.0602688172043011</v>
      </c>
      <c r="I183" s="8" t="n">
        <v>0.125</v>
      </c>
      <c r="J183" s="8" t="n">
        <v>0.875</v>
      </c>
      <c r="K183" s="8" t="n">
        <v>29.4296301848155</v>
      </c>
    </row>
    <row r="184" customFormat="false" ht="15" hidden="false" customHeight="false" outlineLevel="0" collapsed="false">
      <c r="A184" s="6" t="s">
        <v>92</v>
      </c>
      <c r="B184" s="6" t="s">
        <v>275</v>
      </c>
      <c r="C184" s="8" t="n">
        <v>0.125</v>
      </c>
      <c r="D184" s="8" t="n">
        <v>0.14494623655914</v>
      </c>
      <c r="E184" s="8" t="n">
        <v>0.531155144635936</v>
      </c>
      <c r="F184" s="8" t="n">
        <v>0.0366993852144479</v>
      </c>
      <c r="G184" s="8" t="n">
        <v>0.031649135987979</v>
      </c>
      <c r="H184" s="8" t="n">
        <v>0.0181182795698925</v>
      </c>
      <c r="I184" s="8" t="n">
        <v>0.125</v>
      </c>
      <c r="J184" s="8" t="n">
        <v>0.875</v>
      </c>
      <c r="K184" s="8" t="n">
        <v>13.4303169109488</v>
      </c>
    </row>
    <row r="185" customFormat="false" ht="15" hidden="false" customHeight="false" outlineLevel="0" collapsed="false">
      <c r="A185" s="6" t="s">
        <v>92</v>
      </c>
      <c r="B185" s="6" t="s">
        <v>276</v>
      </c>
      <c r="C185" s="8" t="n">
        <v>0.221771694390721</v>
      </c>
      <c r="D185" s="8" t="n">
        <v>0.205591397849462</v>
      </c>
      <c r="E185" s="8" t="n">
        <v>0.736476112775239</v>
      </c>
      <c r="F185" s="8" t="n">
        <v>0.153640189125365</v>
      </c>
      <c r="G185" s="8" t="n">
        <v>0.119444398342393</v>
      </c>
      <c r="H185" s="8" t="n">
        <v>0.190208208337335</v>
      </c>
      <c r="I185" s="8" t="n">
        <v>0.221771694390721</v>
      </c>
      <c r="J185" s="8" t="n">
        <v>0.886488195012644</v>
      </c>
      <c r="K185" s="8" t="n">
        <v>12.1318951557016</v>
      </c>
    </row>
    <row r="186" customFormat="false" ht="15" hidden="false" customHeight="false" outlineLevel="0" collapsed="false">
      <c r="A186" s="6" t="s">
        <v>92</v>
      </c>
      <c r="B186" s="6" t="s">
        <v>277</v>
      </c>
      <c r="C186" s="8" t="n">
        <v>0.125</v>
      </c>
      <c r="D186" s="8" t="n">
        <v>0.482150537634409</v>
      </c>
      <c r="E186" s="8" t="n">
        <v>0.501601400542004</v>
      </c>
      <c r="F186" s="8" t="n">
        <v>0.313691673063362</v>
      </c>
      <c r="G186" s="8" t="n">
        <v>0.081326175275682</v>
      </c>
      <c r="H186" s="8" t="n">
        <v>0.0602688172043011</v>
      </c>
      <c r="I186" s="8" t="n">
        <v>0.125</v>
      </c>
      <c r="J186" s="8" t="n">
        <v>0.875</v>
      </c>
      <c r="K186" s="8" t="n">
        <v>13.3426711009138</v>
      </c>
    </row>
    <row r="187" customFormat="false" ht="15" hidden="false" customHeight="false" outlineLevel="0" collapsed="false">
      <c r="A187" s="6" t="s">
        <v>92</v>
      </c>
      <c r="B187" s="6" t="s">
        <v>278</v>
      </c>
      <c r="C187" s="8" t="n">
        <v>0.125</v>
      </c>
      <c r="D187" s="8" t="n">
        <v>0.482150537634409</v>
      </c>
      <c r="E187" s="8" t="n">
        <v>0.49750949881547</v>
      </c>
      <c r="F187" s="8" t="n">
        <v>0.313691673063362</v>
      </c>
      <c r="G187" s="8" t="n">
        <v>0.081326175275682</v>
      </c>
      <c r="H187" s="8" t="n">
        <v>0.0602688172043011</v>
      </c>
      <c r="I187" s="8" t="n">
        <v>0.125</v>
      </c>
      <c r="J187" s="8" t="n">
        <v>0.875</v>
      </c>
      <c r="K187" s="8" t="n">
        <v>17.2530574082046</v>
      </c>
    </row>
    <row r="188" customFormat="false" ht="15" hidden="false" customHeight="false" outlineLevel="0" collapsed="false">
      <c r="A188" s="6" t="s">
        <v>92</v>
      </c>
      <c r="B188" s="6" t="s">
        <v>279</v>
      </c>
      <c r="C188" s="8" t="n">
        <v>0.125</v>
      </c>
      <c r="D188" s="8" t="n">
        <v>0.482150537634409</v>
      </c>
      <c r="E188" s="8" t="n">
        <v>0.51493228864918</v>
      </c>
      <c r="F188" s="8" t="n">
        <v>0.313691673063362</v>
      </c>
      <c r="G188" s="8" t="n">
        <v>0.081326175275682</v>
      </c>
      <c r="H188" s="8" t="n">
        <v>0.0602688172043011</v>
      </c>
      <c r="I188" s="8" t="n">
        <v>0.125</v>
      </c>
      <c r="J188" s="8" t="n">
        <v>0.875</v>
      </c>
      <c r="K188" s="8" t="n">
        <v>30.1180223813236</v>
      </c>
    </row>
    <row r="189" customFormat="false" ht="15" hidden="false" customHeight="false" outlineLevel="0" collapsed="false">
      <c r="A189" s="6" t="s">
        <v>92</v>
      </c>
      <c r="B189" s="6" t="s">
        <v>280</v>
      </c>
      <c r="C189" s="8" t="n">
        <v>0.125</v>
      </c>
      <c r="D189" s="8" t="n">
        <v>0.482150537634409</v>
      </c>
      <c r="E189" s="8" t="n">
        <v>0.504171077920236</v>
      </c>
      <c r="F189" s="8" t="n">
        <v>0.313691673063362</v>
      </c>
      <c r="G189" s="8" t="n">
        <v>0.081326175275682</v>
      </c>
      <c r="H189" s="8" t="n">
        <v>0.0602688172043011</v>
      </c>
      <c r="I189" s="8" t="n">
        <v>0.125</v>
      </c>
      <c r="J189" s="8" t="n">
        <v>0.875</v>
      </c>
      <c r="K189" s="8" t="n">
        <v>28.8476292433534</v>
      </c>
    </row>
    <row r="190" customFormat="false" ht="15" hidden="false" customHeight="false" outlineLevel="0" collapsed="false">
      <c r="A190" s="6" t="s">
        <v>92</v>
      </c>
      <c r="B190" s="6" t="s">
        <v>281</v>
      </c>
      <c r="C190" s="8" t="n">
        <v>0.125</v>
      </c>
      <c r="D190" s="8" t="n">
        <v>0.482150537634409</v>
      </c>
      <c r="E190" s="8" t="n">
        <v>0.493126638087766</v>
      </c>
      <c r="F190" s="8" t="n">
        <v>0.313691673063362</v>
      </c>
      <c r="G190" s="8" t="n">
        <v>0.081326175275682</v>
      </c>
      <c r="H190" s="8" t="n">
        <v>0.0602688172043011</v>
      </c>
      <c r="I190" s="8" t="n">
        <v>0.125</v>
      </c>
      <c r="J190" s="8" t="n">
        <v>0.875</v>
      </c>
      <c r="K190" s="8" t="n">
        <v>66.7394434352004</v>
      </c>
    </row>
    <row r="191" customFormat="false" ht="15" hidden="false" customHeight="false" outlineLevel="0" collapsed="false">
      <c r="A191" s="6" t="s">
        <v>92</v>
      </c>
      <c r="B191" s="6" t="s">
        <v>282</v>
      </c>
      <c r="C191" s="8" t="n">
        <v>0.125</v>
      </c>
      <c r="D191" s="8" t="n">
        <v>0.482150537634409</v>
      </c>
      <c r="E191" s="8" t="n">
        <v>0.438463492296852</v>
      </c>
      <c r="F191" s="8" t="n">
        <v>0.313691673063362</v>
      </c>
      <c r="G191" s="8" t="n">
        <v>0.081326175275682</v>
      </c>
      <c r="H191" s="8" t="n">
        <v>0.0602688172043011</v>
      </c>
      <c r="I191" s="8" t="n">
        <v>0.125</v>
      </c>
      <c r="J191" s="8" t="n">
        <v>0.875</v>
      </c>
      <c r="K191" s="8" t="n">
        <v>25.1774078457202</v>
      </c>
    </row>
    <row r="192" customFormat="false" ht="15" hidden="false" customHeight="false" outlineLevel="0" collapsed="false">
      <c r="A192" s="6" t="s">
        <v>92</v>
      </c>
      <c r="B192" s="6" t="s">
        <v>283</v>
      </c>
      <c r="C192" s="8" t="n">
        <v>0.125</v>
      </c>
      <c r="D192" s="8" t="n">
        <v>0.183440860215054</v>
      </c>
      <c r="E192" s="8" t="n">
        <v>0.594213917587999</v>
      </c>
      <c r="F192" s="8" t="n">
        <v>0.0568690000957445</v>
      </c>
      <c r="G192" s="8" t="n">
        <v>0.0387515900417954</v>
      </c>
      <c r="H192" s="8" t="n">
        <v>0.0229301075268817</v>
      </c>
      <c r="I192" s="8" t="n">
        <v>0.125</v>
      </c>
      <c r="J192" s="8" t="n">
        <v>0.875</v>
      </c>
      <c r="K192" s="8" t="n">
        <v>14.3139198623165</v>
      </c>
    </row>
    <row r="193" customFormat="false" ht="15" hidden="false" customHeight="false" outlineLevel="0" collapsed="false">
      <c r="A193" s="6" t="s">
        <v>92</v>
      </c>
      <c r="B193" s="6" t="s">
        <v>284</v>
      </c>
      <c r="C193" s="8" t="n">
        <v>0.401582697970978</v>
      </c>
      <c r="D193" s="8" t="n">
        <v>0.416129032258065</v>
      </c>
      <c r="E193" s="8" t="n">
        <v>0.79188562938812</v>
      </c>
      <c r="F193" s="8" t="n">
        <v>0.448616440180359</v>
      </c>
      <c r="G193" s="8" t="n">
        <v>0.278840211084078</v>
      </c>
      <c r="H193" s="8" t="n">
        <v>0.321359893726054</v>
      </c>
      <c r="I193" s="8" t="n">
        <v>0.401582697970978</v>
      </c>
      <c r="J193" s="8" t="n">
        <v>0.915112488449889</v>
      </c>
      <c r="K193" s="8" t="n">
        <v>9.72120638365387</v>
      </c>
    </row>
    <row r="194" customFormat="false" ht="15" hidden="false" customHeight="false" outlineLevel="0" collapsed="false">
      <c r="A194" s="6" t="s">
        <v>92</v>
      </c>
      <c r="B194" s="6" t="s">
        <v>285</v>
      </c>
      <c r="C194" s="8" t="n">
        <v>0.406490355535516</v>
      </c>
      <c r="D194" s="8" t="n">
        <v>0.411397849462366</v>
      </c>
      <c r="E194" s="8" t="n">
        <v>0.822058020995845</v>
      </c>
      <c r="F194" s="8" t="n">
        <v>0.46440972819203</v>
      </c>
      <c r="G194" s="8" t="n">
        <v>0.277067035066777</v>
      </c>
      <c r="H194" s="8" t="n">
        <v>0.339973083515812</v>
      </c>
      <c r="I194" s="8" t="n">
        <v>0.406490355535516</v>
      </c>
      <c r="J194" s="8" t="n">
        <v>0.912712210223505</v>
      </c>
      <c r="K194" s="8" t="n">
        <v>8.93240318898232</v>
      </c>
    </row>
    <row r="195" customFormat="false" ht="15" hidden="false" customHeight="false" outlineLevel="0" collapsed="false">
      <c r="A195" s="6" t="s">
        <v>92</v>
      </c>
      <c r="B195" s="6" t="s">
        <v>286</v>
      </c>
      <c r="C195" s="8" t="n">
        <v>0.410320583082884</v>
      </c>
      <c r="D195" s="8" t="n">
        <v>0.376989247311828</v>
      </c>
      <c r="E195" s="8" t="n">
        <v>0.803544689695431</v>
      </c>
      <c r="F195" s="8" t="n">
        <v>0.428393520514657</v>
      </c>
      <c r="G195" s="8" t="n">
        <v>0.267214403298951</v>
      </c>
      <c r="H195" s="8" t="n">
        <v>0.293252804502158</v>
      </c>
      <c r="I195" s="8" t="n">
        <v>0.410320583082884</v>
      </c>
      <c r="J195" s="8" t="n">
        <v>0.910693314391511</v>
      </c>
      <c r="K195" s="8" t="n">
        <v>9.15272142661515</v>
      </c>
    </row>
    <row r="196" customFormat="false" ht="15" hidden="false" customHeight="false" outlineLevel="0" collapsed="false">
      <c r="A196" s="6" t="s">
        <v>92</v>
      </c>
      <c r="B196" s="6" t="s">
        <v>287</v>
      </c>
      <c r="C196" s="8" t="n">
        <v>0.25195740226076</v>
      </c>
      <c r="D196" s="8" t="n">
        <v>0.310322580645161</v>
      </c>
      <c r="E196" s="8" t="n">
        <v>0.741301778344047</v>
      </c>
      <c r="F196" s="8" t="n">
        <v>0.299073941723622</v>
      </c>
      <c r="G196" s="8" t="n">
        <v>0.197195263134626</v>
      </c>
      <c r="H196" s="8" t="n">
        <v>0.253180575583309</v>
      </c>
      <c r="I196" s="8" t="n">
        <v>0.25195740226076</v>
      </c>
      <c r="J196" s="8" t="n">
        <v>0.896841836924581</v>
      </c>
      <c r="K196" s="8" t="n">
        <v>14.4246619292998</v>
      </c>
    </row>
    <row r="197" customFormat="false" ht="15" hidden="false" customHeight="false" outlineLevel="0" collapsed="false">
      <c r="A197" s="6" t="s">
        <v>92</v>
      </c>
      <c r="B197" s="6" t="s">
        <v>288</v>
      </c>
      <c r="C197" s="8" t="n">
        <v>0.114388944133252</v>
      </c>
      <c r="D197" s="8" t="n">
        <v>0.163440860215054</v>
      </c>
      <c r="E197" s="8" t="n">
        <v>0.480195492592453</v>
      </c>
      <c r="F197" s="8" t="n">
        <v>0.138139768120922</v>
      </c>
      <c r="G197" s="8" t="n">
        <v>0.0685495312381189</v>
      </c>
      <c r="H197" s="8" t="n">
        <v>0.0959625529431075</v>
      </c>
      <c r="I197" s="8" t="n">
        <v>0.114388944133252</v>
      </c>
      <c r="J197" s="8" t="n">
        <v>0.871292044303057</v>
      </c>
      <c r="K197" s="8" t="n">
        <v>486.052713403189</v>
      </c>
    </row>
    <row r="198" customFormat="false" ht="15" hidden="false" customHeight="false" outlineLevel="0" collapsed="false">
      <c r="A198" s="6" t="s">
        <v>92</v>
      </c>
      <c r="B198" s="6" t="s">
        <v>289</v>
      </c>
      <c r="C198" s="8" t="n">
        <v>0.115110439463534</v>
      </c>
      <c r="D198" s="8" t="n">
        <v>0.0750537634408602</v>
      </c>
      <c r="E198" s="8" t="n">
        <v>0.511121050442057</v>
      </c>
      <c r="F198" s="8" t="n">
        <v>0.0937889643578566</v>
      </c>
      <c r="G198" s="8" t="n">
        <v>0.0369160679500476</v>
      </c>
      <c r="H198" s="8" t="n">
        <v>0.11709589514475</v>
      </c>
      <c r="I198" s="8" t="n">
        <v>0.115110439463534</v>
      </c>
      <c r="J198" s="8" t="n">
        <v>0.875023582369114</v>
      </c>
      <c r="K198" s="8" t="n">
        <v>423.756599486156</v>
      </c>
    </row>
    <row r="199" customFormat="false" ht="15" hidden="false" customHeight="false" outlineLevel="0" collapsed="false">
      <c r="A199" s="6" t="s">
        <v>92</v>
      </c>
      <c r="B199" s="6" t="s">
        <v>290</v>
      </c>
      <c r="C199" s="8" t="n">
        <v>0.499481207561164</v>
      </c>
      <c r="D199" s="8" t="n">
        <v>0.545591397849462</v>
      </c>
      <c r="E199" s="8" t="n">
        <v>0.870780329118669</v>
      </c>
      <c r="F199" s="8" t="n">
        <v>0.568579602130877</v>
      </c>
      <c r="G199" s="8" t="n">
        <v>0.386690081441195</v>
      </c>
      <c r="H199" s="8" t="n">
        <v>0.370849666730219</v>
      </c>
      <c r="I199" s="8" t="n">
        <v>0.499481207561164</v>
      </c>
      <c r="J199" s="8" t="n">
        <v>0.929333424380742</v>
      </c>
      <c r="K199" s="8" t="n">
        <v>6.73303196014897</v>
      </c>
    </row>
    <row r="200" customFormat="false" ht="15" hidden="false" customHeight="false" outlineLevel="0" collapsed="false">
      <c r="A200" s="6" t="s">
        <v>92</v>
      </c>
      <c r="B200" s="6" t="s">
        <v>291</v>
      </c>
      <c r="C200" s="8" t="n">
        <v>0.570117298944718</v>
      </c>
      <c r="D200" s="8" t="n">
        <v>0.565806451612903</v>
      </c>
      <c r="E200" s="8" t="n">
        <v>0.895872607182664</v>
      </c>
      <c r="F200" s="8" t="n">
        <v>0.585996301104859</v>
      </c>
      <c r="G200" s="8" t="n">
        <v>0.457472142774411</v>
      </c>
      <c r="H200" s="8" t="n">
        <v>0.440695280084236</v>
      </c>
      <c r="I200" s="8" t="n">
        <v>0.570117298944718</v>
      </c>
      <c r="J200" s="8" t="n">
        <v>0.93308236401765</v>
      </c>
      <c r="K200" s="8" t="n">
        <v>5.72243440869034</v>
      </c>
    </row>
    <row r="201" customFormat="false" ht="15" hidden="false" customHeight="false" outlineLevel="0" collapsed="false">
      <c r="A201" s="6" t="s">
        <v>92</v>
      </c>
      <c r="B201" s="6" t="s">
        <v>292</v>
      </c>
      <c r="C201" s="8" t="n">
        <v>0.633499655169218</v>
      </c>
      <c r="D201" s="8" t="n">
        <v>0.625591397849462</v>
      </c>
      <c r="E201" s="8" t="n">
        <v>0.918105731066345</v>
      </c>
      <c r="F201" s="8" t="n">
        <v>0.641579712061206</v>
      </c>
      <c r="G201" s="8" t="n">
        <v>0.548384913584483</v>
      </c>
      <c r="H201" s="8" t="n">
        <v>0.521228710728572</v>
      </c>
      <c r="I201" s="8" t="n">
        <v>0.633499655169218</v>
      </c>
      <c r="J201" s="8" t="n">
        <v>0.941753529715312</v>
      </c>
      <c r="K201" s="8" t="n">
        <v>4.79190305111229</v>
      </c>
    </row>
    <row r="202" customFormat="false" ht="15" hidden="false" customHeight="false" outlineLevel="0" collapsed="false">
      <c r="A202" s="6" t="s">
        <v>92</v>
      </c>
      <c r="B202" s="6" t="s">
        <v>293</v>
      </c>
      <c r="C202" s="8" t="n">
        <v>0.519900027695854</v>
      </c>
      <c r="D202" s="8" t="n">
        <v>0.536559139784946</v>
      </c>
      <c r="E202" s="8" t="n">
        <v>0.865630369999932</v>
      </c>
      <c r="F202" s="8" t="n">
        <v>0.562189796126409</v>
      </c>
      <c r="G202" s="8" t="n">
        <v>0.406420393456256</v>
      </c>
      <c r="H202" s="8" t="n">
        <v>0.381519985030247</v>
      </c>
      <c r="I202" s="8" t="n">
        <v>0.519900027695854</v>
      </c>
      <c r="J202" s="8" t="n">
        <v>0.928125469150782</v>
      </c>
      <c r="K202" s="8" t="n">
        <v>6.36007400517823</v>
      </c>
    </row>
    <row r="203" customFormat="false" ht="15" hidden="false" customHeight="false" outlineLevel="0" collapsed="false">
      <c r="A203" s="6" t="s">
        <v>92</v>
      </c>
      <c r="B203" s="6" t="s">
        <v>294</v>
      </c>
      <c r="C203" s="8" t="n">
        <v>0.321248000762098</v>
      </c>
      <c r="D203" s="8" t="n">
        <v>0.272043010752688</v>
      </c>
      <c r="E203" s="8" t="n">
        <v>0.763707065703724</v>
      </c>
      <c r="F203" s="8" t="n">
        <v>0.25903614709981</v>
      </c>
      <c r="G203" s="8" t="n">
        <v>0.183336818003548</v>
      </c>
      <c r="H203" s="8" t="n">
        <v>0.257871687953844</v>
      </c>
      <c r="I203" s="8" t="n">
        <v>0.321248000762098</v>
      </c>
      <c r="J203" s="8" t="n">
        <v>0.896684816236553</v>
      </c>
      <c r="K203" s="8" t="n">
        <v>10.0782669142754</v>
      </c>
    </row>
    <row r="204" customFormat="false" ht="15" hidden="false" customHeight="false" outlineLevel="0" collapsed="false">
      <c r="A204" s="6" t="s">
        <v>92</v>
      </c>
      <c r="B204" s="6" t="s">
        <v>295</v>
      </c>
      <c r="C204" s="8" t="n">
        <v>0.65823531463715</v>
      </c>
      <c r="D204" s="8" t="n">
        <v>0.692688172043011</v>
      </c>
      <c r="E204" s="8" t="n">
        <v>0.92669416306792</v>
      </c>
      <c r="F204" s="8" t="n">
        <v>0.698699493528649</v>
      </c>
      <c r="G204" s="8" t="n">
        <v>0.587994531074485</v>
      </c>
      <c r="H204" s="8" t="n">
        <v>0.566580718540333</v>
      </c>
      <c r="I204" s="8" t="n">
        <v>0.65823531463715</v>
      </c>
      <c r="J204" s="8" t="n">
        <v>0.949436952790698</v>
      </c>
      <c r="K204" s="8" t="n">
        <v>7.83122748997904</v>
      </c>
    </row>
    <row r="205" customFormat="false" ht="15" hidden="false" customHeight="false" outlineLevel="0" collapsed="false">
      <c r="A205" s="6" t="s">
        <v>92</v>
      </c>
      <c r="B205" s="6" t="s">
        <v>296</v>
      </c>
      <c r="C205" s="8" t="n">
        <v>0.277977209116297</v>
      </c>
      <c r="D205" s="8" t="n">
        <v>0.406881720430108</v>
      </c>
      <c r="E205" s="8" t="n">
        <v>0.636069951650077</v>
      </c>
      <c r="F205" s="8" t="n">
        <v>0.380036487708252</v>
      </c>
      <c r="G205" s="8" t="n">
        <v>0.223352362090967</v>
      </c>
      <c r="H205" s="8" t="n">
        <v>0.30221682447691</v>
      </c>
      <c r="I205" s="8" t="n">
        <v>0.277977209116297</v>
      </c>
      <c r="J205" s="8" t="n">
        <v>0.899597544899908</v>
      </c>
      <c r="K205" s="8" t="n">
        <v>36.8565334805962</v>
      </c>
    </row>
    <row r="206" customFormat="false" ht="15" hidden="false" customHeight="false" outlineLevel="0" collapsed="false">
      <c r="A206" s="6" t="s">
        <v>92</v>
      </c>
      <c r="B206" s="6" t="s">
        <v>297</v>
      </c>
      <c r="C206" s="8" t="n">
        <v>0.449466324648654</v>
      </c>
      <c r="D206" s="8" t="n">
        <v>0.593548387096774</v>
      </c>
      <c r="E206" s="8" t="n">
        <v>0.827510473991645</v>
      </c>
      <c r="F206" s="8" t="n">
        <v>0.599558975083236</v>
      </c>
      <c r="G206" s="8" t="n">
        <v>0.392263765213866</v>
      </c>
      <c r="H206" s="8" t="n">
        <v>0.414041640913132</v>
      </c>
      <c r="I206" s="8" t="n">
        <v>0.449466324648654</v>
      </c>
      <c r="J206" s="8" t="n">
        <v>0.933512294728755</v>
      </c>
      <c r="K206" s="8" t="n">
        <v>17.7033818786119</v>
      </c>
    </row>
    <row r="207" customFormat="false" ht="15" hidden="false" customHeight="false" outlineLevel="0" collapsed="false">
      <c r="A207" s="6" t="s">
        <v>92</v>
      </c>
      <c r="B207" s="6" t="s">
        <v>298</v>
      </c>
      <c r="C207" s="8" t="n">
        <v>0.350367713162916</v>
      </c>
      <c r="D207" s="8" t="n">
        <v>0.47505376344086</v>
      </c>
      <c r="E207" s="8" t="n">
        <v>0.767218828615289</v>
      </c>
      <c r="F207" s="8" t="n">
        <v>0.492515229311398</v>
      </c>
      <c r="G207" s="8" t="n">
        <v>0.321800003348666</v>
      </c>
      <c r="H207" s="8" t="n">
        <v>0.371252826225961</v>
      </c>
      <c r="I207" s="8" t="n">
        <v>0.350367713162916</v>
      </c>
      <c r="J207" s="8" t="n">
        <v>0.916262727004745</v>
      </c>
      <c r="K207" s="8" t="n">
        <v>21.7035827043749</v>
      </c>
    </row>
    <row r="208" customFormat="false" ht="15" hidden="false" customHeight="false" outlineLevel="0" collapsed="false">
      <c r="A208" s="6" t="s">
        <v>92</v>
      </c>
      <c r="B208" s="6" t="s">
        <v>299</v>
      </c>
      <c r="C208" s="8" t="n">
        <v>0.19042508324615</v>
      </c>
      <c r="D208" s="8" t="n">
        <v>0.441720430107527</v>
      </c>
      <c r="E208" s="8" t="n">
        <v>0.643495727941844</v>
      </c>
      <c r="F208" s="8" t="n">
        <v>0.402808543749017</v>
      </c>
      <c r="G208" s="8" t="n">
        <v>0.159057327759666</v>
      </c>
      <c r="H208" s="8" t="n">
        <v>0.144109262095188</v>
      </c>
      <c r="I208" s="8" t="n">
        <v>0.19042508324615</v>
      </c>
      <c r="J208" s="8" t="n">
        <v>0.901715005677188</v>
      </c>
      <c r="K208" s="8" t="n">
        <v>36.9357123851776</v>
      </c>
    </row>
    <row r="209" customFormat="false" ht="15" hidden="false" customHeight="false" outlineLevel="0" collapsed="false">
      <c r="A209" s="6" t="s">
        <v>92</v>
      </c>
      <c r="B209" s="6" t="s">
        <v>300</v>
      </c>
      <c r="C209" s="8" t="n">
        <v>0.141337581186341</v>
      </c>
      <c r="D209" s="8" t="n">
        <v>0.479569892473118</v>
      </c>
      <c r="E209" s="8" t="n">
        <v>0.649554175618305</v>
      </c>
      <c r="F209" s="8" t="n">
        <v>0.357043934864186</v>
      </c>
      <c r="G209" s="8" t="n">
        <v>0.115477862828066</v>
      </c>
      <c r="H209" s="8" t="n">
        <v>0.163512021968575</v>
      </c>
      <c r="I209" s="8" t="n">
        <v>0.141337581186341</v>
      </c>
      <c r="J209" s="8" t="n">
        <v>0.881768024434729</v>
      </c>
      <c r="K209" s="8" t="n">
        <v>26.8350666693558</v>
      </c>
    </row>
    <row r="210" customFormat="false" ht="15" hidden="false" customHeight="false" outlineLevel="0" collapsed="false">
      <c r="A210" s="6" t="s">
        <v>301</v>
      </c>
      <c r="B210" s="6" t="s">
        <v>96</v>
      </c>
      <c r="C210" s="8" t="n">
        <v>0.590422240702376</v>
      </c>
      <c r="D210" s="8" t="n">
        <v>0.672043010752688</v>
      </c>
      <c r="E210" s="8" t="n">
        <v>0.917554711672945</v>
      </c>
      <c r="F210" s="8" t="n">
        <v>0.668281483883476</v>
      </c>
      <c r="G210" s="8" t="n">
        <v>0.548447898838568</v>
      </c>
      <c r="H210" s="8" t="n">
        <v>0.539715775231001</v>
      </c>
      <c r="I210" s="8" t="n">
        <v>0.590422240702376</v>
      </c>
      <c r="J210" s="8" t="n">
        <v>0.9423983322931</v>
      </c>
      <c r="K210" s="8" t="n">
        <v>6.06075937247405</v>
      </c>
    </row>
    <row r="211" customFormat="false" ht="15" hidden="false" customHeight="false" outlineLevel="0" collapsed="false">
      <c r="A211" s="6" t="s">
        <v>301</v>
      </c>
      <c r="B211" s="6" t="s">
        <v>108</v>
      </c>
      <c r="C211" s="8" t="n">
        <v>0.61602262934592</v>
      </c>
      <c r="D211" s="8" t="n">
        <v>0.678924731182796</v>
      </c>
      <c r="E211" s="8" t="n">
        <v>0.920137523603949</v>
      </c>
      <c r="F211" s="8" t="n">
        <v>0.677591042143499</v>
      </c>
      <c r="G211" s="8" t="n">
        <v>0.547847437062569</v>
      </c>
      <c r="H211" s="8" t="n">
        <v>0.525902715304164</v>
      </c>
      <c r="I211" s="8" t="n">
        <v>0.61602262934592</v>
      </c>
      <c r="J211" s="8" t="n">
        <v>0.944809576427214</v>
      </c>
      <c r="K211" s="8" t="n">
        <v>5.37797565853724</v>
      </c>
    </row>
    <row r="212" customFormat="false" ht="15" hidden="false" customHeight="false" outlineLevel="0" collapsed="false">
      <c r="A212" s="6" t="s">
        <v>301</v>
      </c>
      <c r="B212" s="6" t="s">
        <v>137</v>
      </c>
      <c r="C212" s="8" t="n">
        <v>0.589845895855178</v>
      </c>
      <c r="D212" s="8" t="n">
        <v>0.636559139784946</v>
      </c>
      <c r="E212" s="8" t="n">
        <v>0.906743199665381</v>
      </c>
      <c r="F212" s="8" t="n">
        <v>0.639533452160822</v>
      </c>
      <c r="G212" s="8" t="n">
        <v>0.480186080504185</v>
      </c>
      <c r="H212" s="8" t="n">
        <v>0.463367834470523</v>
      </c>
      <c r="I212" s="8" t="n">
        <v>0.589845895855178</v>
      </c>
      <c r="J212" s="8" t="n">
        <v>0.938462316073371</v>
      </c>
      <c r="K212" s="8" t="n">
        <v>7.09858887364787</v>
      </c>
    </row>
    <row r="213" customFormat="false" ht="15" hidden="false" customHeight="false" outlineLevel="0" collapsed="false">
      <c r="A213" s="6" t="s">
        <v>301</v>
      </c>
      <c r="B213" s="6" t="s">
        <v>172</v>
      </c>
      <c r="C213" s="8" t="n">
        <v>0.568687844424459</v>
      </c>
      <c r="D213" s="8" t="n">
        <v>0.631182795698925</v>
      </c>
      <c r="E213" s="8" t="n">
        <v>0.909425647353897</v>
      </c>
      <c r="F213" s="8" t="n">
        <v>0.624997035088784</v>
      </c>
      <c r="G213" s="8" t="n">
        <v>0.467932821544423</v>
      </c>
      <c r="H213" s="8" t="n">
        <v>0.477027635823669</v>
      </c>
      <c r="I213" s="8" t="n">
        <v>0.568687844424459</v>
      </c>
      <c r="J213" s="8" t="n">
        <v>0.93539785827416</v>
      </c>
      <c r="K213" s="8" t="n">
        <v>7.54535375591247</v>
      </c>
    </row>
    <row r="214" customFormat="false" ht="15" hidden="false" customHeight="false" outlineLevel="0" collapsed="false">
      <c r="A214" s="6" t="s">
        <v>301</v>
      </c>
      <c r="B214" s="6" t="s">
        <v>212</v>
      </c>
      <c r="C214" s="8" t="n">
        <v>0.546571239922928</v>
      </c>
      <c r="D214" s="8" t="n">
        <v>0.658924731182796</v>
      </c>
      <c r="E214" s="8" t="n">
        <v>0.903021460904335</v>
      </c>
      <c r="F214" s="8" t="n">
        <v>0.644009891510208</v>
      </c>
      <c r="G214" s="8" t="n">
        <v>0.521245705873462</v>
      </c>
      <c r="H214" s="8" t="n">
        <v>0.533560878742661</v>
      </c>
      <c r="I214" s="8" t="n">
        <v>0.546571239922928</v>
      </c>
      <c r="J214" s="8" t="n">
        <v>0.937148640028167</v>
      </c>
      <c r="K214" s="8" t="n">
        <v>8.64900412007045</v>
      </c>
    </row>
    <row r="215" customFormat="false" ht="15" hidden="false" customHeight="false" outlineLevel="0" collapsed="false">
      <c r="A215" s="6" t="s">
        <v>301</v>
      </c>
      <c r="B215" s="6" t="s">
        <v>260</v>
      </c>
      <c r="C215" s="8" t="n">
        <v>0.64624132503462</v>
      </c>
      <c r="D215" s="8" t="n">
        <v>0.616989247311828</v>
      </c>
      <c r="E215" s="8" t="n">
        <v>0.9142149012484</v>
      </c>
      <c r="F215" s="8" t="n">
        <v>0.630798349299449</v>
      </c>
      <c r="G215" s="8" t="n">
        <v>0.54115852768645</v>
      </c>
      <c r="H215" s="8" t="n">
        <v>0.496807761241675</v>
      </c>
      <c r="I215" s="8" t="n">
        <v>0.64624132503462</v>
      </c>
      <c r="J215" s="8" t="n">
        <v>0.940659284821575</v>
      </c>
      <c r="K215" s="8" t="n">
        <v>4.66441340433654</v>
      </c>
    </row>
    <row r="216" customFormat="false" ht="15" hidden="false" customHeight="false" outlineLevel="0" collapsed="false">
      <c r="A216" s="6" t="s">
        <v>301</v>
      </c>
      <c r="B216" s="6" t="s">
        <v>285</v>
      </c>
      <c r="C216" s="8" t="n">
        <v>0.443586405125567</v>
      </c>
      <c r="D216" s="8" t="n">
        <v>0.433763440860215</v>
      </c>
      <c r="E216" s="8" t="n">
        <v>0.827679083740439</v>
      </c>
      <c r="F216" s="8" t="n">
        <v>0.478094353422916</v>
      </c>
      <c r="G216" s="8" t="n">
        <v>0.298871263070314</v>
      </c>
      <c r="H216" s="8" t="n">
        <v>0.33523868193716</v>
      </c>
      <c r="I216" s="8" t="n">
        <v>0.443586405125567</v>
      </c>
      <c r="J216" s="8" t="n">
        <v>0.916289930748819</v>
      </c>
      <c r="K216" s="8" t="n">
        <v>8.27743186130319</v>
      </c>
    </row>
    <row r="217" customFormat="false" ht="15" hidden="false" customHeight="false" outlineLevel="0" collapsed="false">
      <c r="A217" s="6" t="s">
        <v>301</v>
      </c>
      <c r="B217" s="6" t="s">
        <v>292</v>
      </c>
      <c r="C217" s="8" t="n">
        <v>0.650460812138641</v>
      </c>
      <c r="D217" s="8" t="n">
        <v>0.599139784946237</v>
      </c>
      <c r="E217" s="8" t="n">
        <v>0.917839363827006</v>
      </c>
      <c r="F217" s="8" t="n">
        <v>0.617394085987235</v>
      </c>
      <c r="G217" s="8" t="n">
        <v>0.542228992752041</v>
      </c>
      <c r="H217" s="8" t="n">
        <v>0.510395683469899</v>
      </c>
      <c r="I217" s="8" t="n">
        <v>0.650460812138641</v>
      </c>
      <c r="J217" s="8" t="n">
        <v>0.938194583771703</v>
      </c>
      <c r="K217" s="8" t="n">
        <v>4.94336423245809</v>
      </c>
    </row>
  </sheetData>
  <autoFilter ref="A1:K2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2026-10-28T13:36:48Z</dcterms:created>
  <dc:creator>openpyxl</dc:creator>
  <dc:description/>
  <dc:language>en-US</dc:language>
  <cp:lastModifiedBy/>
  <dcterms:modified xsi:type="dcterms:W3CDTF">2026-10-28T13:36:48Z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